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leanup" sheetId="2" r:id="rId6"/>
    <sheet state="visible" name="Filter and sort courses" sheetId="3" r:id="rId7"/>
    <sheet state="visible" name="Sort by course" sheetId="4" r:id="rId8"/>
  </sheets>
  <definedNames/>
  <calcPr/>
</workbook>
</file>

<file path=xl/sharedStrings.xml><?xml version="1.0" encoding="utf-8"?>
<sst xmlns="http://schemas.openxmlformats.org/spreadsheetml/2006/main" count="2091" uniqueCount="200">
  <si>
    <t>Timestamp</t>
  </si>
  <si>
    <t>First name</t>
  </si>
  <si>
    <t>Last name</t>
  </si>
  <si>
    <t>Pitt email address</t>
  </si>
  <si>
    <t>Top choices [CS 0007]</t>
  </si>
  <si>
    <t>First Choice Group</t>
  </si>
  <si>
    <t>Top choices [CS 0011/0012]</t>
  </si>
  <si>
    <t>Second Choice</t>
  </si>
  <si>
    <t>Top choices [CMPINF 0401]</t>
  </si>
  <si>
    <t>Third Choice Group</t>
  </si>
  <si>
    <t>Cannot TA Group (explain below)</t>
  </si>
  <si>
    <t>Top choices [CS 0441]</t>
  </si>
  <si>
    <t>Top choices [CS 0445]</t>
  </si>
  <si>
    <t>Top choices [CS 0447]</t>
  </si>
  <si>
    <t>Top choices [CS 0449]</t>
  </si>
  <si>
    <t>Top choices [CS 0590]</t>
  </si>
  <si>
    <t>Top choices [CS 1501]</t>
  </si>
  <si>
    <t>Top choices [CS 1502]</t>
  </si>
  <si>
    <t>Top choices [CS 1503]</t>
  </si>
  <si>
    <t>Top choices [CS 1510/2012]</t>
  </si>
  <si>
    <t>Top choices [CS 1520]</t>
  </si>
  <si>
    <t>Top choices [CS 1530]</t>
  </si>
  <si>
    <t>Top choices [CS 1550]</t>
  </si>
  <si>
    <t>Top choices [CS 1555/2055]</t>
  </si>
  <si>
    <t>CS 0011/0012</t>
  </si>
  <si>
    <t>Top choices [CS 1566]</t>
  </si>
  <si>
    <t>Top choices [CS 1571]</t>
  </si>
  <si>
    <t>Top choices [CS 1632]</t>
  </si>
  <si>
    <t>Top choices [CS 1635/2035]</t>
  </si>
  <si>
    <t>Top choices [CS 1980/1640]</t>
  </si>
  <si>
    <t>Top choices [CS 1656]</t>
  </si>
  <si>
    <t>CMPINF 0401</t>
  </si>
  <si>
    <t>Top choices [CS 1660/2060]</t>
  </si>
  <si>
    <t>Top choices [CS 1666]</t>
  </si>
  <si>
    <t>Top choices [CS 1671/2071]</t>
  </si>
  <si>
    <t>Top choices [CS 1674/2074]</t>
  </si>
  <si>
    <t>Top choices [CS 1675/2075]</t>
  </si>
  <si>
    <t>Top choices [CS 1684/2084]</t>
  </si>
  <si>
    <t>Top choices [CS 1699]</t>
  </si>
  <si>
    <t>CS 0441</t>
  </si>
  <si>
    <t>Top choices [CS 1900/1950]</t>
  </si>
  <si>
    <t>Top choices [CS 2210]</t>
  </si>
  <si>
    <t>Top choices [CS 2520]</t>
  </si>
  <si>
    <t>Top choices [CS 2710]</t>
  </si>
  <si>
    <t>Top choices [CS 2731]</t>
  </si>
  <si>
    <t>Top choices [CS 2750]</t>
  </si>
  <si>
    <t>Top choices [CS 2893]</t>
  </si>
  <si>
    <t>Topic Areas [Introductory programming (could be Python or Java)]</t>
  </si>
  <si>
    <t>CS 0445</t>
  </si>
  <si>
    <t>Topic Areas [Core programming in Java]</t>
  </si>
  <si>
    <t>Topic Areas [Computer systems/architecture]</t>
  </si>
  <si>
    <t>Topic Areas [Theory and mathematical foundations]</t>
  </si>
  <si>
    <t>Topic Areas [Programming practice and software engineering]</t>
  </si>
  <si>
    <t>Topic Areas [Artificial intelligence and machine learning]</t>
  </si>
  <si>
    <t>Topic Areas [Security and networks]</t>
  </si>
  <si>
    <t>Topic Areas [Data management and organization]</t>
  </si>
  <si>
    <t>Scheduling constraints</t>
  </si>
  <si>
    <t>CS 0447</t>
  </si>
  <si>
    <t>Courses constraints</t>
  </si>
  <si>
    <t>Goals</t>
  </si>
  <si>
    <t>Anything else we should know?
For example: courses that you wish to avoid (explain!), etc.</t>
  </si>
  <si>
    <t>CS 1656</t>
  </si>
  <si>
    <t>CS 1671/2071</t>
  </si>
  <si>
    <t>CS 1674/2074</t>
  </si>
  <si>
    <t>CS 1675/2075</t>
  </si>
  <si>
    <t>CS 1684/2084</t>
  </si>
  <si>
    <t>CS 2710</t>
  </si>
  <si>
    <t>CS 2731</t>
  </si>
  <si>
    <t>CS 2750</t>
  </si>
  <si>
    <t>CS 1699</t>
  </si>
  <si>
    <t>CS 0007</t>
  </si>
  <si>
    <t>CS 0449</t>
  </si>
  <si>
    <t>A</t>
  </si>
  <si>
    <t>CS 0590</t>
  </si>
  <si>
    <t>CS 1501</t>
  </si>
  <si>
    <t>CS 1502</t>
  </si>
  <si>
    <t>CS 1503</t>
  </si>
  <si>
    <t>CS 1510/2012</t>
  </si>
  <si>
    <t>CS 1520</t>
  </si>
  <si>
    <t>CS 1530</t>
  </si>
  <si>
    <t>CS 1550</t>
  </si>
  <si>
    <t>Y</t>
  </si>
  <si>
    <t>CS 1555/2055</t>
  </si>
  <si>
    <t>CS 1566</t>
  </si>
  <si>
    <t>CS 1571</t>
  </si>
  <si>
    <t>CS 1632</t>
  </si>
  <si>
    <t>CS 1980/1640</t>
  </si>
  <si>
    <t>CS 1660/2060</t>
  </si>
  <si>
    <t>a@pitt.edu</t>
  </si>
  <si>
    <t>CS 1666</t>
  </si>
  <si>
    <t>CS 1900/1950</t>
  </si>
  <si>
    <t>CS 2210</t>
  </si>
  <si>
    <t>CS 2520</t>
  </si>
  <si>
    <t>CS 2893</t>
  </si>
  <si>
    <t>B</t>
  </si>
  <si>
    <t>CS 1635/2035</t>
  </si>
  <si>
    <t>C</t>
  </si>
  <si>
    <t>Excellent</t>
  </si>
  <si>
    <t>Unsatisfactory</t>
  </si>
  <si>
    <t>Strong</t>
  </si>
  <si>
    <t>D</t>
  </si>
  <si>
    <t>Satisfactory</t>
  </si>
  <si>
    <t>Friday 12-4PM</t>
  </si>
  <si>
    <t>N/A</t>
  </si>
  <si>
    <t>Funding, Teaching experience</t>
  </si>
  <si>
    <t xml:space="preserve">CS1503 or 1555 since I find it hard to work with Dr Marina Barsky - great person, but hard to work with because it’s very hard to convince her on any changes on course structure </t>
  </si>
  <si>
    <t>Z</t>
  </si>
  <si>
    <t>b@pitt.edu</t>
  </si>
  <si>
    <t>E</t>
  </si>
  <si>
    <t>F</t>
  </si>
  <si>
    <t>Monday: 11:00 AM–12:15 PM; 6:00–8:30 PM
Tuesday: 1:00–1:30 PM; 4:00–5:15 PM
Wednesday: 11:00 AM–12:15 PM
Thursday: 4:00–5:15 PM
Friday: 1:00–1:30 PM</t>
  </si>
  <si>
    <t>CS 2710: Foundations of Artificial Intelligence
CS 2750: Machine Learning
CS 2893: Modern Quantum Computing
CS 2990: Independent Study</t>
  </si>
  <si>
    <t>G</t>
  </si>
  <si>
    <t>Funding, Learn a new topic</t>
  </si>
  <si>
    <t>Avoid theory topic; Not interested in teaching ; Thank you very much! ;)</t>
  </si>
  <si>
    <t>c@pitt.edu</t>
  </si>
  <si>
    <t>H</t>
  </si>
  <si>
    <t>I</t>
  </si>
  <si>
    <t>No real constraints</t>
  </si>
  <si>
    <t>No conflicts</t>
  </si>
  <si>
    <t>If there are multiple sections of cs1656, I prefer to be assigned to the one of Dr. Labrinidis</t>
  </si>
  <si>
    <t>J</t>
  </si>
  <si>
    <t>d@pitt.edu</t>
  </si>
  <si>
    <t>K</t>
  </si>
  <si>
    <t>L</t>
  </si>
  <si>
    <t>Not available Monday Tuesday Wednesday (all day); only available Thursday afternoon and Friday (all day)</t>
  </si>
  <si>
    <t xml:space="preserve">Cannot do algorithms, systems or architecture courses; only can do introductory programing courses </t>
  </si>
  <si>
    <t>Funding, Teaching experience, Improve public speaking or other skills</t>
  </si>
  <si>
    <t>definitely want to avoid - assembly language, architecture, formal methods, algorithms, systems courses; prefer intro programming, data science, hci or ai courses!</t>
  </si>
  <si>
    <t>M</t>
  </si>
  <si>
    <t>e@pitt.edu</t>
  </si>
  <si>
    <t>N</t>
  </si>
  <si>
    <t>O</t>
  </si>
  <si>
    <t>Potential conferences that I may have to make time for: NeurIPS (Dec 6-13). This can be limited to a few days depending if/when we have to present.</t>
  </si>
  <si>
    <t>NA</t>
  </si>
  <si>
    <t>Funding</t>
  </si>
  <si>
    <t>Only because of my limited understanding about these topics: MODERN QUANTUM COMPUTING, WIDE AREA NETWORKS.</t>
  </si>
  <si>
    <t>f@pitt.edu</t>
  </si>
  <si>
    <t>P</t>
  </si>
  <si>
    <t>Q</t>
  </si>
  <si>
    <t>R</t>
  </si>
  <si>
    <t>Monday &amp; Wednesday: 11:00 AM–12:15 PM (CS 2075), 2:00 PM–3:20 PM, 4:30 PM–5:45 PM (BIOST 2041)
Thursday: 2:30 PM–3:45 PM (BIOST 2041 Recitation)
Friday: 11:00 AM–11:50 AM (CS 2075 Recitation)</t>
  </si>
  <si>
    <t>CS 2075</t>
  </si>
  <si>
    <t>Funding, Teaching experience, Improve public speaking or other skills, Learn a new topic</t>
  </si>
  <si>
    <t>no</t>
  </si>
  <si>
    <t>g@pitt.edu</t>
  </si>
  <si>
    <t>S</t>
  </si>
  <si>
    <t>T</t>
  </si>
  <si>
    <t>U</t>
  </si>
  <si>
    <t>V</t>
  </si>
  <si>
    <t>CS 0447/CS 0449/CS 1550 (computer systems/architecture), CS 1502/CS 2210/CS 2893 (theory/math foundations), CS 1520 (security/networks), and CS 1566/CS 1635/CS 1666 (interface/graphics): as a PhD student in ML/NLP/AI-related research, I don't have sufficient TA background in these areas outside my specialization</t>
  </si>
  <si>
    <t>h@pitt.edu</t>
  </si>
  <si>
    <t>X</t>
  </si>
  <si>
    <t>Monday: unavailable after 3:00 PM
Tuesday: unavailable after 12:00 PM-2:00PM</t>
  </si>
  <si>
    <t>None</t>
  </si>
  <si>
    <t>Improve public speaking or other skills</t>
  </si>
  <si>
    <t>i@pitt.edu</t>
  </si>
  <si>
    <t xml:space="preserve">Not have required background for TA: CS 2893, CS 2520, CS 2210, CS 1666, CS 1660/2060, CS 1635/2035, CS 1632, CS 1566, CS 1555/2055, CS 1510/2012, CS 1502, CS 0590, CS 0447, CS 0449
Need grading-only TA and these courses are recitation based: CS 1550, CS 1520, CS 1503, CS 1501, CS 0445, CS 0441, CMPINF 0401, CS 0011/0012, CS 0007 </t>
  </si>
  <si>
    <t>I kindly request a grading-only TA assignment, as I have multiple travel plans in the fall for conferences and personal family reasons.</t>
  </si>
  <si>
    <t>j@pitt.edu</t>
  </si>
  <si>
    <t xml:space="preserve">Schedule is flexible. Might enroll for CS 2003, if TA duty permits. </t>
  </si>
  <si>
    <t>I would prefer to avoid systems courses, if possible, because my background and interests are more aligned with other areas. I would be able to contribute more effectively as a TA in those courses.</t>
  </si>
  <si>
    <t>k@pitt.edu</t>
  </si>
  <si>
    <t>I am not available before noon. Additionally, I am not available Fridays from 12PM-2PM due to my CS2003 requirements.</t>
  </si>
  <si>
    <t>Any course listed as "Cannot TA" is because either I have never taken the course, or I do not believe my knowledge on the subject is satisfactory for the TA role.</t>
  </si>
  <si>
    <t>l@pitt.edu</t>
  </si>
  <si>
    <t>Hi, my research focuses on NLP and ML, so related courses may fit my background better. Thank you!</t>
  </si>
  <si>
    <t>m@pitt.edu</t>
  </si>
  <si>
    <t>Monday: 9:00 AM - 5:00 PM
Tuesday: 9:00 AM - 5:00 PM
Wednesday: 9:00 AM - 5:00 PM
Thursday: Available 10:00 AM - 3:00 PM and after 5:00 PM (unavailable 9:00 AM - 10:00 AM and 3:00 PM - 5:00 PM)
Friday: Not available</t>
  </si>
  <si>
    <t>I would prefer to serve as a grader for most courses, especially CS 0447, as I have been a TA for this course several times and am very familiar with the course material and grading expectations</t>
  </si>
  <si>
    <t>I will be defending my proposal this semester, so my schedule is particularly busy. Because of this, I strongly prefer a grader position rather than a TA position. I would be most effective grading a course that I already have experience with, especially one I have supported before. Since I work from home most of the time and have significant research commitments, a grader role would be the best fit for me and would allow me to contribute effectively while balancing my academic responsibilities.</t>
  </si>
  <si>
    <t>n@pitt.edu</t>
  </si>
  <si>
    <t>Wednesday afternoons – group meeting
Friday mornings – group meeting
Friday afternoons – CS 2003 class</t>
  </si>
  <si>
    <t>I would prefer to avoid courses that are substantially outside my background, as well as courses in which I have limited confidence based on my previous experience.</t>
  </si>
  <si>
    <t>o@pitt.edu</t>
  </si>
  <si>
    <t>I have CS-2003 from 12:30 to 1:30 on Fridays.</t>
  </si>
  <si>
    <t>None.</t>
  </si>
  <si>
    <t>Funding, Teaching experience, Learn a new topic</t>
  </si>
  <si>
    <t>I would like to be assigned Grading assignments, as for the last two weeks of the semester after Thanksgiving, I will likely be away in India to visit my grandmother for her 80th birthday. If possible, do not assign me to CS-1503.</t>
  </si>
  <si>
    <t>p@pitt.edu</t>
  </si>
  <si>
    <t>I strongly prefer to be a grader this semester and I would like to request to be a grader. I don't think I have enough knowledge (zero to not enough to be helpful) for cases that I chose cannot TA for the course.</t>
  </si>
  <si>
    <t>q@pitt.edu</t>
  </si>
  <si>
    <t>r@pitt.edu</t>
  </si>
  <si>
    <t>Monday Wednesday 1pm to 2:15pm</t>
  </si>
  <si>
    <t>COMPILER DESIGN | CS 2210</t>
  </si>
  <si>
    <t>Have to avoid COMPILER DESIGN | CS 2210 because I will be taking it.</t>
  </si>
  <si>
    <t>s@pitt.edu</t>
  </si>
  <si>
    <t>I only have meetings scheduled at these times:
Monday: 3:30–4:30 PM
Wednesday: 12:30–1:30 PM
Thursday: 4:30–5:30 PM
Friday: Colloquium, 12:30–1:00 PM</t>
  </si>
  <si>
    <t>I enjoy working on courses related to NLP (CS 1671/2071, CS 2731), Data Science (CS 1656/2056), and Machine Learning (CS 1675/2075). I have taken these courses before and have also served as a TA for some of them, so I would like to teach them again.  I am also interested in courses Programming Languages for Web Applications (CS 1520) and compiler (cs 2210). I have taken these courses before and have also served as a TA for some of them, and I really enjoyed teaching them.</t>
  </si>
  <si>
    <t>t@pitt.edu</t>
  </si>
  <si>
    <t>TBD</t>
  </si>
  <si>
    <t>u@pitt.edu</t>
  </si>
  <si>
    <t>I did not take any quantum computing classes before, try to avoid being a TA for this course</t>
  </si>
  <si>
    <t>v@pitt.edu</t>
  </si>
  <si>
    <t>N\A</t>
  </si>
  <si>
    <t>Anything related to Web Development</t>
  </si>
  <si>
    <t>x@pitt.edu</t>
  </si>
  <si>
    <t>I am unavailable from 12-3pm and 6-8:30pm Mondays, and 2pm-3:15pm on Tuesdays and Thursdays.</t>
  </si>
  <si>
    <t>cs2750</t>
  </si>
  <si>
    <t>no background in quantum computing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</si>
</sst>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sz val="11.0"/>
      <color theme="1"/>
      <name val="Monospac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Z24" displayName="Form_Responses" name="Form_Responses" id="1">
  <tableColumns count="52">
    <tableColumn name="Timestamp" id="1"/>
    <tableColumn name="First name" id="2"/>
    <tableColumn name="Last name" id="3"/>
    <tableColumn name="Pitt email address" id="4"/>
    <tableColumn name="Top choices [CS 0007]" id="5"/>
    <tableColumn name="Top choices [CS 0011/0012]" id="6"/>
    <tableColumn name="Top choices [CMPINF 0401]" id="7"/>
    <tableColumn name="Top choices [CS 0441]" id="8"/>
    <tableColumn name="Top choices [CS 0445]" id="9"/>
    <tableColumn name="Top choices [CS 0447]" id="10"/>
    <tableColumn name="Top choices [CS 0449]" id="11"/>
    <tableColumn name="Top choices [CS 0590]" id="12"/>
    <tableColumn name="Top choices [CS 1501]" id="13"/>
    <tableColumn name="Top choices [CS 1502]" id="14"/>
    <tableColumn name="Top choices [CS 1503]" id="15"/>
    <tableColumn name="Top choices [CS 1510/2012]" id="16"/>
    <tableColumn name="Top choices [CS 1520]" id="17"/>
    <tableColumn name="Top choices [CS 1530]" id="18"/>
    <tableColumn name="Top choices [CS 1550]" id="19"/>
    <tableColumn name="Top choices [CS 1555/2055]" id="20"/>
    <tableColumn name="Top choices [CS 1566]" id="21"/>
    <tableColumn name="Top choices [CS 1571]" id="22"/>
    <tableColumn name="Top choices [CS 1632]" id="23"/>
    <tableColumn name="Top choices [CS 1635/2035]" id="24"/>
    <tableColumn name="Top choices [CS 1980/1640]" id="25"/>
    <tableColumn name="Top choices [CS 1656]" id="26"/>
    <tableColumn name="Top choices [CS 1660/2060]" id="27"/>
    <tableColumn name="Top choices [CS 1666]" id="28"/>
    <tableColumn name="Top choices [CS 1671/2071]" id="29"/>
    <tableColumn name="Top choices [CS 1674/2074]" id="30"/>
    <tableColumn name="Top choices [CS 1675/2075]" id="31"/>
    <tableColumn name="Top choices [CS 1684/2084]" id="32"/>
    <tableColumn name="Top choices [CS 1699]" id="33"/>
    <tableColumn name="Top choices [CS 1900/1950]" id="34"/>
    <tableColumn name="Top choices [CS 2210]" id="35"/>
    <tableColumn name="Top choices [CS 2520]" id="36"/>
    <tableColumn name="Top choices [CS 2710]" id="37"/>
    <tableColumn name="Top choices [CS 2731]" id="38"/>
    <tableColumn name="Top choices [CS 2750]" id="39"/>
    <tableColumn name="Top choices [CS 2893]" id="40"/>
    <tableColumn name="Topic Areas [Introductory programming (could be Python or Java)]" id="41"/>
    <tableColumn name="Topic Areas [Core programming in Java]" id="42"/>
    <tableColumn name="Topic Areas [Computer systems/architecture]" id="43"/>
    <tableColumn name="Topic Areas [Theory and mathematical foundations]" id="44"/>
    <tableColumn name="Topic Areas [Programming practice and software engineering]" id="45"/>
    <tableColumn name="Topic Areas [Artificial intelligence and machine learning]" id="46"/>
    <tableColumn name="Topic Areas [Security and networks]" id="47"/>
    <tableColumn name="Topic Areas [Data management and organization]" id="48"/>
    <tableColumn name="Scheduling constraints" id="49"/>
    <tableColumn name="Courses constraints" id="50"/>
    <tableColumn name="Goals" id="51"/>
    <tableColumn name="Anything else we should know?_x000a__x000a_For example: courses that you wish to avoid (explain!), etc." id="5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1.5"/>
    <col customWidth="1" min="6" max="6" width="25.88"/>
    <col customWidth="1" min="7" max="7" width="25.5"/>
    <col customWidth="1" min="8" max="15" width="21.5"/>
    <col customWidth="1" min="16" max="16" width="25.88"/>
    <col customWidth="1" min="17" max="19" width="21.5"/>
    <col customWidth="1" min="20" max="20" width="25.88"/>
    <col customWidth="1" min="21" max="23" width="21.5"/>
    <col customWidth="1" min="24" max="25" width="25.88"/>
    <col customWidth="1" min="26" max="26" width="21.5"/>
    <col customWidth="1" min="27" max="27" width="25.88"/>
    <col customWidth="1" min="28" max="28" width="21.5"/>
    <col customWidth="1" min="29" max="32" width="25.88"/>
    <col customWidth="1" min="33" max="33" width="21.5"/>
    <col customWidth="1" min="34" max="34" width="25.88"/>
    <col customWidth="1" min="35" max="40" width="21.5"/>
    <col customWidth="1" min="41" max="41" width="37.63"/>
    <col customWidth="1" min="42" max="42" width="34.25"/>
    <col customWidth="1" min="43" max="46" width="37.63"/>
    <col customWidth="1" min="47" max="47" width="31.25"/>
    <col customWidth="1" min="48" max="48" width="37.63"/>
    <col customWidth="1" min="49" max="49" width="21.88"/>
    <col customWidth="1" min="50" max="50" width="19.88"/>
    <col customWidth="1" min="51" max="51" width="18.88"/>
    <col customWidth="1" min="52" max="52" width="37.63"/>
    <col customWidth="1" min="53" max="58" width="18.88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8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32</v>
      </c>
      <c r="AB1" s="4" t="s">
        <v>33</v>
      </c>
      <c r="AC1" s="4" t="s">
        <v>34</v>
      </c>
      <c r="AD1" s="4" t="s">
        <v>35</v>
      </c>
      <c r="AE1" s="4" t="s">
        <v>36</v>
      </c>
      <c r="AF1" s="4" t="s">
        <v>37</v>
      </c>
      <c r="AG1" s="4" t="s">
        <v>38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58</v>
      </c>
      <c r="AY1" s="4" t="s">
        <v>59</v>
      </c>
      <c r="AZ1" s="4" t="s">
        <v>60</v>
      </c>
    </row>
    <row r="2" ht="22.5" customHeight="1">
      <c r="A2" s="6">
        <v>46246.53317660879</v>
      </c>
      <c r="B2" s="7" t="s">
        <v>72</v>
      </c>
      <c r="C2" s="7" t="s">
        <v>81</v>
      </c>
      <c r="D2" s="7" t="s">
        <v>88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  <c r="V2" s="7" t="s">
        <v>9</v>
      </c>
      <c r="W2" s="7" t="s">
        <v>9</v>
      </c>
      <c r="X2" s="7" t="s">
        <v>5</v>
      </c>
      <c r="Y2" s="7" t="s">
        <v>9</v>
      </c>
      <c r="Z2" s="7" t="s">
        <v>5</v>
      </c>
      <c r="AA2" s="7" t="s">
        <v>9</v>
      </c>
      <c r="AB2" s="7" t="s">
        <v>9</v>
      </c>
      <c r="AC2" s="7" t="s">
        <v>5</v>
      </c>
      <c r="AD2" s="7" t="s">
        <v>5</v>
      </c>
      <c r="AE2" s="7" t="s">
        <v>5</v>
      </c>
      <c r="AF2" s="7" t="s">
        <v>5</v>
      </c>
      <c r="AG2" s="7" t="s">
        <v>7</v>
      </c>
      <c r="AH2" s="7" t="s">
        <v>9</v>
      </c>
      <c r="AI2" s="7" t="s">
        <v>9</v>
      </c>
      <c r="AJ2" s="7" t="s">
        <v>9</v>
      </c>
      <c r="AK2" s="7" t="s">
        <v>5</v>
      </c>
      <c r="AL2" s="7" t="s">
        <v>5</v>
      </c>
      <c r="AM2" s="7" t="s">
        <v>5</v>
      </c>
      <c r="AN2" s="7" t="s">
        <v>9</v>
      </c>
      <c r="AO2" s="7" t="s">
        <v>97</v>
      </c>
      <c r="AP2" s="7" t="s">
        <v>97</v>
      </c>
      <c r="AQ2" s="7" t="s">
        <v>98</v>
      </c>
      <c r="AR2" s="7" t="s">
        <v>98</v>
      </c>
      <c r="AS2" s="7" t="s">
        <v>99</v>
      </c>
      <c r="AT2" s="7" t="s">
        <v>97</v>
      </c>
      <c r="AU2" s="7" t="s">
        <v>101</v>
      </c>
      <c r="AV2" s="7" t="s">
        <v>99</v>
      </c>
      <c r="AW2" s="7" t="s">
        <v>102</v>
      </c>
      <c r="AX2" s="7" t="s">
        <v>103</v>
      </c>
      <c r="AY2" s="7" t="s">
        <v>104</v>
      </c>
      <c r="AZ2" s="7" t="s">
        <v>105</v>
      </c>
    </row>
    <row r="3" ht="22.5" customHeight="1">
      <c r="A3" s="6">
        <v>46246.55689633102</v>
      </c>
      <c r="B3" s="7" t="s">
        <v>94</v>
      </c>
      <c r="C3" s="7" t="s">
        <v>106</v>
      </c>
      <c r="D3" s="7" t="s">
        <v>107</v>
      </c>
      <c r="E3" s="7" t="s">
        <v>5</v>
      </c>
      <c r="F3" s="7" t="s">
        <v>5</v>
      </c>
      <c r="G3" s="7" t="s">
        <v>5</v>
      </c>
      <c r="H3" s="7" t="s">
        <v>5</v>
      </c>
      <c r="I3" s="7" t="s">
        <v>5</v>
      </c>
      <c r="J3" s="7" t="s">
        <v>9</v>
      </c>
      <c r="K3" s="7" t="s">
        <v>5</v>
      </c>
      <c r="L3" s="7" t="s">
        <v>9</v>
      </c>
      <c r="M3" s="7" t="s">
        <v>5</v>
      </c>
      <c r="N3" s="7" t="s">
        <v>9</v>
      </c>
      <c r="O3" s="7" t="s">
        <v>9</v>
      </c>
      <c r="P3" s="7" t="s">
        <v>5</v>
      </c>
      <c r="Q3" s="7" t="s">
        <v>5</v>
      </c>
      <c r="R3" s="7" t="s">
        <v>9</v>
      </c>
      <c r="S3" s="7" t="s">
        <v>5</v>
      </c>
      <c r="T3" s="7" t="s">
        <v>5</v>
      </c>
      <c r="U3" s="7" t="s">
        <v>9</v>
      </c>
      <c r="V3" s="7" t="s">
        <v>9</v>
      </c>
      <c r="W3" s="7" t="s">
        <v>9</v>
      </c>
      <c r="X3" s="7" t="s">
        <v>9</v>
      </c>
      <c r="Y3" s="7" t="s">
        <v>9</v>
      </c>
      <c r="Z3" s="7" t="s">
        <v>5</v>
      </c>
      <c r="AA3" s="7" t="s">
        <v>7</v>
      </c>
      <c r="AB3" s="7" t="s">
        <v>7</v>
      </c>
      <c r="AC3" s="7" t="s">
        <v>7</v>
      </c>
      <c r="AD3" s="7" t="s">
        <v>7</v>
      </c>
      <c r="AE3" s="7" t="s">
        <v>7</v>
      </c>
      <c r="AF3" s="7" t="s">
        <v>7</v>
      </c>
      <c r="AG3" s="7" t="s">
        <v>7</v>
      </c>
      <c r="AH3" s="7" t="s">
        <v>7</v>
      </c>
      <c r="AI3" s="7" t="s">
        <v>9</v>
      </c>
      <c r="AJ3" s="7" t="s">
        <v>7</v>
      </c>
      <c r="AK3" s="7" t="s">
        <v>7</v>
      </c>
      <c r="AL3" s="7" t="s">
        <v>7</v>
      </c>
      <c r="AM3" s="7" t="s">
        <v>7</v>
      </c>
      <c r="AN3" s="7" t="s">
        <v>9</v>
      </c>
      <c r="AO3" s="7" t="s">
        <v>99</v>
      </c>
      <c r="AP3" s="7" t="s">
        <v>99</v>
      </c>
      <c r="AQ3" s="7" t="s">
        <v>101</v>
      </c>
      <c r="AR3" s="7" t="s">
        <v>98</v>
      </c>
      <c r="AS3" s="7" t="s">
        <v>99</v>
      </c>
      <c r="AT3" s="7" t="s">
        <v>99</v>
      </c>
      <c r="AU3" s="7" t="s">
        <v>99</v>
      </c>
      <c r="AV3" s="7" t="s">
        <v>99</v>
      </c>
      <c r="AW3" s="7" t="s">
        <v>110</v>
      </c>
      <c r="AX3" s="7" t="s">
        <v>111</v>
      </c>
      <c r="AY3" s="7" t="s">
        <v>113</v>
      </c>
      <c r="AZ3" s="7" t="s">
        <v>114</v>
      </c>
    </row>
    <row r="4" ht="22.5" customHeight="1">
      <c r="A4" s="6">
        <v>46246.55808</v>
      </c>
      <c r="B4" s="7" t="s">
        <v>96</v>
      </c>
      <c r="C4" s="7" t="s">
        <v>72</v>
      </c>
      <c r="D4" s="7" t="s">
        <v>115</v>
      </c>
      <c r="E4" s="7" t="s">
        <v>9</v>
      </c>
      <c r="F4" s="7" t="s">
        <v>9</v>
      </c>
      <c r="G4" s="7" t="s">
        <v>9</v>
      </c>
      <c r="H4" s="7" t="s">
        <v>9</v>
      </c>
      <c r="I4" s="7" t="s">
        <v>7</v>
      </c>
      <c r="J4" s="7" t="s">
        <v>9</v>
      </c>
      <c r="K4" s="7" t="s">
        <v>9</v>
      </c>
      <c r="L4" s="7" t="s">
        <v>9</v>
      </c>
      <c r="M4" s="7" t="s">
        <v>9</v>
      </c>
      <c r="N4" s="7" t="s">
        <v>9</v>
      </c>
      <c r="O4" s="7" t="s">
        <v>9</v>
      </c>
      <c r="P4" s="7" t="s">
        <v>9</v>
      </c>
      <c r="Q4" s="7" t="s">
        <v>7</v>
      </c>
      <c r="R4" s="7" t="s">
        <v>9</v>
      </c>
      <c r="S4" s="7" t="s">
        <v>7</v>
      </c>
      <c r="T4" s="7" t="s">
        <v>9</v>
      </c>
      <c r="U4" s="7" t="s">
        <v>9</v>
      </c>
      <c r="V4" s="7" t="s">
        <v>9</v>
      </c>
      <c r="W4" s="7" t="s">
        <v>9</v>
      </c>
      <c r="X4" s="7" t="s">
        <v>9</v>
      </c>
      <c r="Y4" s="7" t="s">
        <v>9</v>
      </c>
      <c r="Z4" s="7" t="s">
        <v>5</v>
      </c>
      <c r="AA4" s="7" t="s">
        <v>9</v>
      </c>
      <c r="AB4" s="7" t="s">
        <v>9</v>
      </c>
      <c r="AC4" s="7" t="s">
        <v>9</v>
      </c>
      <c r="AD4" s="7" t="s">
        <v>9</v>
      </c>
      <c r="AE4" s="7" t="s">
        <v>9</v>
      </c>
      <c r="AF4" s="7" t="s">
        <v>9</v>
      </c>
      <c r="AG4" s="7" t="s">
        <v>9</v>
      </c>
      <c r="AH4" s="7" t="s">
        <v>9</v>
      </c>
      <c r="AI4" s="7" t="s">
        <v>9</v>
      </c>
      <c r="AJ4" s="7" t="s">
        <v>9</v>
      </c>
      <c r="AK4" s="7" t="s">
        <v>9</v>
      </c>
      <c r="AL4" s="7" t="s">
        <v>9</v>
      </c>
      <c r="AM4" s="7" t="s">
        <v>9</v>
      </c>
      <c r="AN4" s="7" t="s">
        <v>9</v>
      </c>
      <c r="AO4" s="7" t="s">
        <v>97</v>
      </c>
      <c r="AP4" s="7" t="s">
        <v>97</v>
      </c>
      <c r="AQ4" s="7" t="s">
        <v>99</v>
      </c>
      <c r="AR4" s="7" t="s">
        <v>98</v>
      </c>
      <c r="AS4" s="7" t="s">
        <v>97</v>
      </c>
      <c r="AT4" s="7" t="s">
        <v>99</v>
      </c>
      <c r="AU4" s="7" t="s">
        <v>101</v>
      </c>
      <c r="AV4" s="7" t="s">
        <v>97</v>
      </c>
      <c r="AW4" s="7" t="s">
        <v>118</v>
      </c>
      <c r="AX4" s="7" t="s">
        <v>119</v>
      </c>
      <c r="AY4" s="7" t="s">
        <v>104</v>
      </c>
      <c r="AZ4" s="7" t="s">
        <v>120</v>
      </c>
    </row>
    <row r="5" ht="22.5" customHeight="1">
      <c r="A5" s="6">
        <v>46246.57346724537</v>
      </c>
      <c r="B5" s="7" t="s">
        <v>100</v>
      </c>
      <c r="C5" s="7" t="s">
        <v>94</v>
      </c>
      <c r="D5" s="7" t="s">
        <v>122</v>
      </c>
      <c r="E5" s="7" t="s">
        <v>5</v>
      </c>
      <c r="F5" s="7" t="s">
        <v>5</v>
      </c>
      <c r="G5" s="7" t="s">
        <v>5</v>
      </c>
      <c r="H5" s="7" t="s">
        <v>5</v>
      </c>
      <c r="I5" s="7" t="s">
        <v>10</v>
      </c>
      <c r="J5" s="7" t="s">
        <v>10</v>
      </c>
      <c r="K5" s="7" t="s">
        <v>10</v>
      </c>
      <c r="L5" s="7" t="s">
        <v>5</v>
      </c>
      <c r="M5" s="7" t="s">
        <v>10</v>
      </c>
      <c r="N5" s="7" t="s">
        <v>10</v>
      </c>
      <c r="O5" s="7" t="s">
        <v>5</v>
      </c>
      <c r="P5" s="7" t="s">
        <v>10</v>
      </c>
      <c r="Q5" s="7" t="s">
        <v>5</v>
      </c>
      <c r="R5" s="7" t="s">
        <v>5</v>
      </c>
      <c r="S5" s="7" t="s">
        <v>10</v>
      </c>
      <c r="T5" s="7" t="s">
        <v>10</v>
      </c>
      <c r="U5" s="7" t="s">
        <v>10</v>
      </c>
      <c r="V5" s="7" t="s">
        <v>5</v>
      </c>
      <c r="W5" s="7" t="s">
        <v>5</v>
      </c>
      <c r="X5" s="7" t="s">
        <v>5</v>
      </c>
      <c r="Y5" s="7" t="s">
        <v>5</v>
      </c>
      <c r="Z5" s="7" t="s">
        <v>5</v>
      </c>
      <c r="AA5" s="7" t="s">
        <v>5</v>
      </c>
      <c r="AB5" s="7" t="s">
        <v>5</v>
      </c>
      <c r="AC5" s="7" t="s">
        <v>5</v>
      </c>
      <c r="AD5" s="7" t="s">
        <v>5</v>
      </c>
      <c r="AE5" s="7" t="s">
        <v>5</v>
      </c>
      <c r="AF5" s="7" t="s">
        <v>5</v>
      </c>
      <c r="AG5" s="7" t="s">
        <v>5</v>
      </c>
      <c r="AH5" s="7" t="s">
        <v>5</v>
      </c>
      <c r="AI5" s="7" t="s">
        <v>10</v>
      </c>
      <c r="AJ5" s="7" t="s">
        <v>10</v>
      </c>
      <c r="AK5" s="7" t="s">
        <v>5</v>
      </c>
      <c r="AL5" s="7" t="s">
        <v>5</v>
      </c>
      <c r="AM5" s="7" t="s">
        <v>5</v>
      </c>
      <c r="AN5" s="7" t="s">
        <v>10</v>
      </c>
      <c r="AO5" s="7" t="s">
        <v>97</v>
      </c>
      <c r="AP5" s="7" t="s">
        <v>97</v>
      </c>
      <c r="AQ5" s="7" t="s">
        <v>98</v>
      </c>
      <c r="AR5" s="7" t="s">
        <v>98</v>
      </c>
      <c r="AS5" s="7" t="s">
        <v>98</v>
      </c>
      <c r="AT5" s="7" t="s">
        <v>97</v>
      </c>
      <c r="AU5" s="7" t="s">
        <v>98</v>
      </c>
      <c r="AV5" s="7" t="s">
        <v>98</v>
      </c>
      <c r="AW5" s="7" t="s">
        <v>125</v>
      </c>
      <c r="AX5" s="7" t="s">
        <v>126</v>
      </c>
      <c r="AY5" s="7" t="s">
        <v>127</v>
      </c>
      <c r="AZ5" s="7" t="s">
        <v>128</v>
      </c>
    </row>
    <row r="6" ht="22.5" customHeight="1">
      <c r="A6" s="6">
        <v>46246.57361850694</v>
      </c>
      <c r="B6" s="7" t="s">
        <v>108</v>
      </c>
      <c r="C6" s="7" t="s">
        <v>96</v>
      </c>
      <c r="D6" s="7" t="s">
        <v>130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  <c r="J6" s="7" t="s">
        <v>9</v>
      </c>
      <c r="K6" s="7" t="s">
        <v>9</v>
      </c>
      <c r="L6" s="7" t="s">
        <v>9</v>
      </c>
      <c r="M6" s="7" t="s">
        <v>9</v>
      </c>
      <c r="N6" s="7" t="s">
        <v>9</v>
      </c>
      <c r="O6" s="7" t="s">
        <v>9</v>
      </c>
      <c r="P6" s="7" t="s">
        <v>9</v>
      </c>
      <c r="Q6" s="7" t="s">
        <v>9</v>
      </c>
      <c r="R6" s="7" t="s">
        <v>9</v>
      </c>
      <c r="S6" s="7" t="s">
        <v>9</v>
      </c>
      <c r="T6" s="7" t="s">
        <v>9</v>
      </c>
      <c r="U6" s="7" t="s">
        <v>9</v>
      </c>
      <c r="V6" s="7" t="s">
        <v>7</v>
      </c>
      <c r="W6" s="7" t="s">
        <v>9</v>
      </c>
      <c r="X6" s="7" t="s">
        <v>9</v>
      </c>
      <c r="Y6" s="7" t="s">
        <v>9</v>
      </c>
      <c r="Z6" s="7" t="s">
        <v>7</v>
      </c>
      <c r="AA6" s="7" t="s">
        <v>9</v>
      </c>
      <c r="AB6" s="7" t="s">
        <v>9</v>
      </c>
      <c r="AC6" s="7" t="s">
        <v>7</v>
      </c>
      <c r="AD6" s="7" t="s">
        <v>7</v>
      </c>
      <c r="AE6" s="7" t="s">
        <v>7</v>
      </c>
      <c r="AF6" s="7" t="s">
        <v>9</v>
      </c>
      <c r="AG6" s="7" t="s">
        <v>9</v>
      </c>
      <c r="AH6" s="7" t="s">
        <v>9</v>
      </c>
      <c r="AI6" s="7" t="s">
        <v>9</v>
      </c>
      <c r="AJ6" s="7" t="s">
        <v>10</v>
      </c>
      <c r="AK6" s="7" t="s">
        <v>5</v>
      </c>
      <c r="AL6" s="7" t="s">
        <v>7</v>
      </c>
      <c r="AM6" s="7" t="s">
        <v>5</v>
      </c>
      <c r="AN6" s="7" t="s">
        <v>10</v>
      </c>
      <c r="AO6" s="7" t="s">
        <v>101</v>
      </c>
      <c r="AP6" s="7" t="s">
        <v>101</v>
      </c>
      <c r="AQ6" s="7" t="s">
        <v>101</v>
      </c>
      <c r="AR6" s="7" t="s">
        <v>101</v>
      </c>
      <c r="AS6" s="7" t="s">
        <v>99</v>
      </c>
      <c r="AT6" s="7" t="s">
        <v>97</v>
      </c>
      <c r="AU6" s="7" t="s">
        <v>98</v>
      </c>
      <c r="AV6" s="7" t="s">
        <v>101</v>
      </c>
      <c r="AW6" s="7" t="s">
        <v>133</v>
      </c>
      <c r="AX6" s="7" t="s">
        <v>134</v>
      </c>
      <c r="AY6" s="7" t="s">
        <v>135</v>
      </c>
      <c r="AZ6" s="7" t="s">
        <v>136</v>
      </c>
    </row>
    <row r="7" ht="22.5" customHeight="1">
      <c r="A7" s="6">
        <v>46246.57415534722</v>
      </c>
      <c r="B7" s="7" t="s">
        <v>109</v>
      </c>
      <c r="C7" s="7" t="s">
        <v>100</v>
      </c>
      <c r="D7" s="7" t="s">
        <v>137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  <c r="J7" s="7" t="s">
        <v>9</v>
      </c>
      <c r="K7" s="7" t="s">
        <v>9</v>
      </c>
      <c r="L7" s="7" t="s">
        <v>9</v>
      </c>
      <c r="M7" s="7" t="s">
        <v>9</v>
      </c>
      <c r="N7" s="7" t="s">
        <v>9</v>
      </c>
      <c r="O7" s="7" t="s">
        <v>9</v>
      </c>
      <c r="P7" s="7" t="s">
        <v>7</v>
      </c>
      <c r="Q7" s="7" t="s">
        <v>9</v>
      </c>
      <c r="R7" s="7" t="s">
        <v>9</v>
      </c>
      <c r="S7" s="7" t="s">
        <v>9</v>
      </c>
      <c r="T7" s="7" t="s">
        <v>9</v>
      </c>
      <c r="U7" s="7" t="s">
        <v>9</v>
      </c>
      <c r="V7" s="7" t="s">
        <v>7</v>
      </c>
      <c r="W7" s="7" t="s">
        <v>9</v>
      </c>
      <c r="X7" s="7" t="s">
        <v>9</v>
      </c>
      <c r="Y7" s="7" t="s">
        <v>9</v>
      </c>
      <c r="Z7" s="7" t="s">
        <v>7</v>
      </c>
      <c r="AA7" s="7" t="s">
        <v>9</v>
      </c>
      <c r="AB7" s="7" t="s">
        <v>9</v>
      </c>
      <c r="AC7" s="7" t="s">
        <v>9</v>
      </c>
      <c r="AD7" s="7" t="s">
        <v>5</v>
      </c>
      <c r="AE7" s="7" t="s">
        <v>10</v>
      </c>
      <c r="AF7" s="7" t="s">
        <v>9</v>
      </c>
      <c r="AG7" s="7" t="s">
        <v>9</v>
      </c>
      <c r="AH7" s="7" t="s">
        <v>9</v>
      </c>
      <c r="AI7" s="7" t="s">
        <v>9</v>
      </c>
      <c r="AJ7" s="7" t="s">
        <v>9</v>
      </c>
      <c r="AK7" s="7" t="s">
        <v>9</v>
      </c>
      <c r="AL7" s="7" t="s">
        <v>9</v>
      </c>
      <c r="AM7" s="7" t="s">
        <v>5</v>
      </c>
      <c r="AN7" s="7" t="s">
        <v>9</v>
      </c>
      <c r="AO7" s="7" t="s">
        <v>101</v>
      </c>
      <c r="AP7" s="7" t="s">
        <v>101</v>
      </c>
      <c r="AQ7" s="7" t="s">
        <v>101</v>
      </c>
      <c r="AR7" s="7" t="s">
        <v>101</v>
      </c>
      <c r="AS7" s="7" t="s">
        <v>101</v>
      </c>
      <c r="AT7" s="7" t="s">
        <v>99</v>
      </c>
      <c r="AU7" s="7" t="s">
        <v>98</v>
      </c>
      <c r="AV7" s="7" t="s">
        <v>101</v>
      </c>
      <c r="AW7" s="7" t="s">
        <v>141</v>
      </c>
      <c r="AX7" s="7" t="s">
        <v>142</v>
      </c>
      <c r="AY7" s="7" t="s">
        <v>143</v>
      </c>
      <c r="AZ7" s="7" t="s">
        <v>144</v>
      </c>
    </row>
    <row r="8" ht="22.5" customHeight="1">
      <c r="A8" s="6">
        <v>46246.57953930556</v>
      </c>
      <c r="B8" s="7" t="s">
        <v>112</v>
      </c>
      <c r="C8" s="7" t="s">
        <v>108</v>
      </c>
      <c r="D8" s="7" t="s">
        <v>145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  <c r="J8" s="7" t="s">
        <v>10</v>
      </c>
      <c r="K8" s="7" t="s">
        <v>10</v>
      </c>
      <c r="L8" s="7" t="s">
        <v>7</v>
      </c>
      <c r="M8" s="7" t="s">
        <v>9</v>
      </c>
      <c r="N8" s="7" t="s">
        <v>10</v>
      </c>
      <c r="O8" s="7" t="s">
        <v>9</v>
      </c>
      <c r="P8" s="7" t="s">
        <v>9</v>
      </c>
      <c r="Q8" s="7" t="s">
        <v>10</v>
      </c>
      <c r="R8" s="7" t="s">
        <v>9</v>
      </c>
      <c r="S8" s="7" t="s">
        <v>10</v>
      </c>
      <c r="T8" s="7" t="s">
        <v>9</v>
      </c>
      <c r="U8" s="7" t="s">
        <v>10</v>
      </c>
      <c r="V8" s="7" t="s">
        <v>5</v>
      </c>
      <c r="W8" s="7" t="s">
        <v>9</v>
      </c>
      <c r="X8" s="7" t="s">
        <v>10</v>
      </c>
      <c r="Y8" s="7" t="s">
        <v>7</v>
      </c>
      <c r="Z8" s="7" t="s">
        <v>9</v>
      </c>
      <c r="AA8" s="7" t="s">
        <v>9</v>
      </c>
      <c r="AB8" s="7" t="s">
        <v>10</v>
      </c>
      <c r="AC8" s="7" t="s">
        <v>5</v>
      </c>
      <c r="AD8" s="7" t="s">
        <v>9</v>
      </c>
      <c r="AE8" s="7" t="s">
        <v>7</v>
      </c>
      <c r="AF8" s="7" t="s">
        <v>5</v>
      </c>
      <c r="AG8" s="7" t="s">
        <v>7</v>
      </c>
      <c r="AH8" s="7" t="s">
        <v>7</v>
      </c>
      <c r="AI8" s="7" t="s">
        <v>10</v>
      </c>
      <c r="AJ8" s="7" t="s">
        <v>7</v>
      </c>
      <c r="AK8" s="7" t="s">
        <v>5</v>
      </c>
      <c r="AL8" s="7" t="s">
        <v>5</v>
      </c>
      <c r="AM8" s="7" t="s">
        <v>5</v>
      </c>
      <c r="AN8" s="7" t="s">
        <v>10</v>
      </c>
      <c r="AO8" s="7" t="s">
        <v>99</v>
      </c>
      <c r="AP8" s="7" t="s">
        <v>101</v>
      </c>
      <c r="AQ8" s="7" t="s">
        <v>98</v>
      </c>
      <c r="AR8" s="7" t="s">
        <v>98</v>
      </c>
      <c r="AS8" s="7" t="s">
        <v>101</v>
      </c>
      <c r="AT8" s="7" t="s">
        <v>97</v>
      </c>
      <c r="AU8" s="7" t="s">
        <v>98</v>
      </c>
      <c r="AV8" s="7" t="s">
        <v>101</v>
      </c>
      <c r="AW8" s="7" t="s">
        <v>134</v>
      </c>
      <c r="AX8" s="7" t="s">
        <v>134</v>
      </c>
      <c r="AY8" s="7" t="s">
        <v>135</v>
      </c>
      <c r="AZ8" s="7" t="s">
        <v>150</v>
      </c>
    </row>
    <row r="9" ht="22.5" customHeight="1">
      <c r="A9" s="6">
        <v>46246.59826490741</v>
      </c>
      <c r="B9" s="7" t="s">
        <v>116</v>
      </c>
      <c r="C9" s="7" t="s">
        <v>109</v>
      </c>
      <c r="D9" s="7" t="s">
        <v>151</v>
      </c>
      <c r="E9" s="7" t="s">
        <v>10</v>
      </c>
      <c r="F9" s="7" t="s">
        <v>10</v>
      </c>
      <c r="G9" s="7" t="s">
        <v>10</v>
      </c>
      <c r="H9" s="7" t="s">
        <v>10</v>
      </c>
      <c r="I9" s="7" t="s">
        <v>10</v>
      </c>
      <c r="J9" s="7" t="s">
        <v>10</v>
      </c>
      <c r="K9" s="7" t="s">
        <v>10</v>
      </c>
      <c r="L9" s="7" t="s">
        <v>10</v>
      </c>
      <c r="M9" s="7" t="s">
        <v>7</v>
      </c>
      <c r="N9" s="7" t="s">
        <v>10</v>
      </c>
      <c r="O9" s="7" t="s">
        <v>10</v>
      </c>
      <c r="P9" s="7" t="s">
        <v>10</v>
      </c>
      <c r="Q9" s="7" t="s">
        <v>10</v>
      </c>
      <c r="R9" s="7" t="s">
        <v>10</v>
      </c>
      <c r="S9" s="7" t="s">
        <v>10</v>
      </c>
      <c r="T9" s="7" t="s">
        <v>10</v>
      </c>
      <c r="U9" s="7" t="s">
        <v>10</v>
      </c>
      <c r="V9" s="7" t="s">
        <v>7</v>
      </c>
      <c r="W9" s="7" t="s">
        <v>10</v>
      </c>
      <c r="X9" s="7" t="s">
        <v>10</v>
      </c>
      <c r="Y9" s="7" t="s">
        <v>10</v>
      </c>
      <c r="Z9" s="7" t="s">
        <v>7</v>
      </c>
      <c r="AA9" s="7" t="s">
        <v>10</v>
      </c>
      <c r="AB9" s="7" t="s">
        <v>10</v>
      </c>
      <c r="AC9" s="7" t="s">
        <v>5</v>
      </c>
      <c r="AD9" s="7" t="s">
        <v>10</v>
      </c>
      <c r="AE9" s="7" t="s">
        <v>7</v>
      </c>
      <c r="AF9" s="7" t="s">
        <v>10</v>
      </c>
      <c r="AG9" s="7" t="s">
        <v>10</v>
      </c>
      <c r="AH9" s="7" t="s">
        <v>10</v>
      </c>
      <c r="AI9" s="7" t="s">
        <v>10</v>
      </c>
      <c r="AJ9" s="7" t="s">
        <v>10</v>
      </c>
      <c r="AK9" s="7" t="s">
        <v>10</v>
      </c>
      <c r="AL9" s="7" t="s">
        <v>10</v>
      </c>
      <c r="AM9" s="7" t="s">
        <v>10</v>
      </c>
      <c r="AN9" s="7" t="s">
        <v>10</v>
      </c>
      <c r="AO9" s="7" t="s">
        <v>97</v>
      </c>
      <c r="AP9" s="7" t="s">
        <v>98</v>
      </c>
      <c r="AQ9" s="7" t="s">
        <v>98</v>
      </c>
      <c r="AR9" s="7" t="s">
        <v>98</v>
      </c>
      <c r="AS9" s="7" t="s">
        <v>97</v>
      </c>
      <c r="AT9" s="7" t="s">
        <v>97</v>
      </c>
      <c r="AU9" s="7" t="s">
        <v>98</v>
      </c>
      <c r="AV9" s="7" t="s">
        <v>99</v>
      </c>
      <c r="AW9" s="7" t="s">
        <v>153</v>
      </c>
      <c r="AX9" s="7" t="s">
        <v>154</v>
      </c>
      <c r="AY9" s="7" t="s">
        <v>155</v>
      </c>
      <c r="AZ9" s="7" t="s">
        <v>154</v>
      </c>
    </row>
    <row r="10" ht="22.5" customHeight="1">
      <c r="A10" s="6">
        <v>46246.6414644676</v>
      </c>
      <c r="B10" s="7" t="s">
        <v>117</v>
      </c>
      <c r="C10" s="7" t="s">
        <v>112</v>
      </c>
      <c r="D10" s="7" t="s">
        <v>156</v>
      </c>
      <c r="E10" s="7" t="s">
        <v>10</v>
      </c>
      <c r="F10" s="7" t="s">
        <v>10</v>
      </c>
      <c r="G10" s="7" t="s">
        <v>10</v>
      </c>
      <c r="H10" s="7" t="s">
        <v>10</v>
      </c>
      <c r="I10" s="7" t="s">
        <v>10</v>
      </c>
      <c r="J10" s="7" t="s">
        <v>10</v>
      </c>
      <c r="K10" s="7" t="s">
        <v>10</v>
      </c>
      <c r="L10" s="7" t="s">
        <v>10</v>
      </c>
      <c r="M10" s="7" t="s">
        <v>10</v>
      </c>
      <c r="N10" s="7" t="s">
        <v>10</v>
      </c>
      <c r="O10" s="7" t="s">
        <v>10</v>
      </c>
      <c r="P10" s="7" t="s">
        <v>10</v>
      </c>
      <c r="Q10" s="7" t="s">
        <v>10</v>
      </c>
      <c r="R10" s="7" t="s">
        <v>9</v>
      </c>
      <c r="S10" s="7" t="s">
        <v>10</v>
      </c>
      <c r="T10" s="7" t="s">
        <v>10</v>
      </c>
      <c r="U10" s="7" t="s">
        <v>10</v>
      </c>
      <c r="V10" s="7" t="s">
        <v>9</v>
      </c>
      <c r="W10" s="7" t="s">
        <v>10</v>
      </c>
      <c r="X10" s="7" t="s">
        <v>10</v>
      </c>
      <c r="Y10" s="7" t="s">
        <v>9</v>
      </c>
      <c r="Z10" s="7" t="s">
        <v>9</v>
      </c>
      <c r="AA10" s="7" t="s">
        <v>10</v>
      </c>
      <c r="AB10" s="7" t="s">
        <v>10</v>
      </c>
      <c r="AC10" s="7" t="s">
        <v>7</v>
      </c>
      <c r="AD10" s="7" t="s">
        <v>7</v>
      </c>
      <c r="AE10" s="7" t="s">
        <v>9</v>
      </c>
      <c r="AF10" s="7" t="s">
        <v>7</v>
      </c>
      <c r="AG10" s="7" t="s">
        <v>7</v>
      </c>
      <c r="AH10" s="7" t="s">
        <v>7</v>
      </c>
      <c r="AI10" s="7" t="s">
        <v>10</v>
      </c>
      <c r="AJ10" s="7" t="s">
        <v>10</v>
      </c>
      <c r="AK10" s="7" t="s">
        <v>5</v>
      </c>
      <c r="AL10" s="7" t="s">
        <v>5</v>
      </c>
      <c r="AM10" s="7" t="s">
        <v>5</v>
      </c>
      <c r="AN10" s="7" t="s">
        <v>10</v>
      </c>
      <c r="AO10" s="7" t="s">
        <v>97</v>
      </c>
      <c r="AP10" s="7" t="s">
        <v>101</v>
      </c>
      <c r="AQ10" s="7" t="s">
        <v>98</v>
      </c>
      <c r="AR10" s="7" t="s">
        <v>101</v>
      </c>
      <c r="AS10" s="7" t="s">
        <v>97</v>
      </c>
      <c r="AT10" s="7" t="s">
        <v>97</v>
      </c>
      <c r="AU10" s="7" t="s">
        <v>98</v>
      </c>
      <c r="AV10" s="7" t="s">
        <v>101</v>
      </c>
      <c r="AW10" s="7" t="s">
        <v>154</v>
      </c>
      <c r="AX10" s="7" t="s">
        <v>157</v>
      </c>
      <c r="AY10" s="7" t="s">
        <v>135</v>
      </c>
      <c r="AZ10" s="7" t="s">
        <v>158</v>
      </c>
    </row>
    <row r="11" ht="22.5" customHeight="1">
      <c r="A11" s="6">
        <v>46246.68936491898</v>
      </c>
      <c r="B11" s="7" t="s">
        <v>121</v>
      </c>
      <c r="C11" s="7" t="s">
        <v>116</v>
      </c>
      <c r="D11" s="7" t="s">
        <v>159</v>
      </c>
      <c r="E11" s="7" t="s">
        <v>5</v>
      </c>
      <c r="F11" s="7" t="s">
        <v>7</v>
      </c>
      <c r="G11" s="7" t="s">
        <v>7</v>
      </c>
      <c r="H11" s="7" t="s">
        <v>9</v>
      </c>
      <c r="I11" s="7" t="s">
        <v>5</v>
      </c>
      <c r="J11" s="7" t="s">
        <v>10</v>
      </c>
      <c r="K11" s="7" t="s">
        <v>10</v>
      </c>
      <c r="L11" s="7" t="s">
        <v>7</v>
      </c>
      <c r="M11" s="7" t="s">
        <v>5</v>
      </c>
      <c r="N11" s="7" t="s">
        <v>9</v>
      </c>
      <c r="O11" s="7" t="s">
        <v>9</v>
      </c>
      <c r="P11" s="7" t="s">
        <v>10</v>
      </c>
      <c r="Q11" s="7" t="s">
        <v>9</v>
      </c>
      <c r="R11" s="7" t="s">
        <v>9</v>
      </c>
      <c r="S11" s="7" t="s">
        <v>10</v>
      </c>
      <c r="T11" s="7" t="s">
        <v>10</v>
      </c>
      <c r="U11" s="7" t="s">
        <v>10</v>
      </c>
      <c r="V11" s="7" t="s">
        <v>7</v>
      </c>
      <c r="W11" s="7" t="s">
        <v>9</v>
      </c>
      <c r="X11" s="7" t="s">
        <v>9</v>
      </c>
      <c r="Y11" s="7" t="s">
        <v>10</v>
      </c>
      <c r="Z11" s="7" t="s">
        <v>5</v>
      </c>
      <c r="AA11" s="7" t="s">
        <v>10</v>
      </c>
      <c r="AB11" s="7" t="s">
        <v>10</v>
      </c>
      <c r="AC11" s="7" t="s">
        <v>7</v>
      </c>
      <c r="AD11" s="7" t="s">
        <v>9</v>
      </c>
      <c r="AE11" s="7" t="s">
        <v>7</v>
      </c>
      <c r="AF11" s="7" t="s">
        <v>9</v>
      </c>
      <c r="AG11" s="7" t="s">
        <v>10</v>
      </c>
      <c r="AH11" s="7" t="s">
        <v>10</v>
      </c>
      <c r="AI11" s="7" t="s">
        <v>10</v>
      </c>
      <c r="AJ11" s="7" t="s">
        <v>10</v>
      </c>
      <c r="AK11" s="7" t="s">
        <v>9</v>
      </c>
      <c r="AL11" s="7" t="s">
        <v>7</v>
      </c>
      <c r="AM11" s="7" t="s">
        <v>9</v>
      </c>
      <c r="AN11" s="7" t="s">
        <v>10</v>
      </c>
      <c r="AO11" s="7" t="s">
        <v>97</v>
      </c>
      <c r="AP11" s="7" t="s">
        <v>99</v>
      </c>
      <c r="AQ11" s="7" t="s">
        <v>98</v>
      </c>
      <c r="AR11" s="7" t="s">
        <v>101</v>
      </c>
      <c r="AS11" s="7" t="s">
        <v>101</v>
      </c>
      <c r="AT11" s="7" t="s">
        <v>99</v>
      </c>
      <c r="AU11" s="7" t="s">
        <v>98</v>
      </c>
      <c r="AV11" s="7" t="s">
        <v>98</v>
      </c>
      <c r="AW11" s="7" t="s">
        <v>160</v>
      </c>
      <c r="AX11" s="7" t="s">
        <v>103</v>
      </c>
      <c r="AY11" s="7" t="s">
        <v>143</v>
      </c>
      <c r="AZ11" s="7" t="s">
        <v>161</v>
      </c>
    </row>
    <row r="12" ht="22.5" customHeight="1">
      <c r="A12" s="6">
        <v>46246.69990787037</v>
      </c>
      <c r="B12" s="7" t="s">
        <v>123</v>
      </c>
      <c r="C12" s="7" t="s">
        <v>117</v>
      </c>
      <c r="D12" s="7" t="s">
        <v>162</v>
      </c>
      <c r="E12" s="7" t="s">
        <v>5</v>
      </c>
      <c r="F12" s="7" t="s">
        <v>5</v>
      </c>
      <c r="G12" s="7" t="s">
        <v>5</v>
      </c>
      <c r="H12" s="7" t="s">
        <v>9</v>
      </c>
      <c r="I12" s="7" t="s">
        <v>5</v>
      </c>
      <c r="J12" s="7" t="s">
        <v>9</v>
      </c>
      <c r="K12" s="7" t="s">
        <v>9</v>
      </c>
      <c r="L12" s="7" t="s">
        <v>9</v>
      </c>
      <c r="M12" s="7" t="s">
        <v>7</v>
      </c>
      <c r="N12" s="7" t="s">
        <v>10</v>
      </c>
      <c r="O12" s="7" t="s">
        <v>7</v>
      </c>
      <c r="P12" s="7" t="s">
        <v>10</v>
      </c>
      <c r="Q12" s="7" t="s">
        <v>5</v>
      </c>
      <c r="R12" s="7" t="s">
        <v>5</v>
      </c>
      <c r="S12" s="7" t="s">
        <v>10</v>
      </c>
      <c r="T12" s="7" t="s">
        <v>10</v>
      </c>
      <c r="U12" s="7" t="s">
        <v>10</v>
      </c>
      <c r="V12" s="7" t="s">
        <v>10</v>
      </c>
      <c r="W12" s="7" t="s">
        <v>9</v>
      </c>
      <c r="X12" s="7" t="s">
        <v>5</v>
      </c>
      <c r="Y12" s="7" t="s">
        <v>7</v>
      </c>
      <c r="Z12" s="7" t="s">
        <v>10</v>
      </c>
      <c r="AA12" s="7" t="s">
        <v>10</v>
      </c>
      <c r="AB12" s="7" t="s">
        <v>10</v>
      </c>
      <c r="AC12" s="7" t="s">
        <v>5</v>
      </c>
      <c r="AD12" s="7" t="s">
        <v>9</v>
      </c>
      <c r="AE12" s="7" t="s">
        <v>7</v>
      </c>
      <c r="AF12" s="7" t="s">
        <v>5</v>
      </c>
      <c r="AG12" s="7" t="s">
        <v>5</v>
      </c>
      <c r="AH12" s="7" t="s">
        <v>10</v>
      </c>
      <c r="AI12" s="7" t="s">
        <v>10</v>
      </c>
      <c r="AJ12" s="7" t="s">
        <v>10</v>
      </c>
      <c r="AK12" s="7" t="s">
        <v>10</v>
      </c>
      <c r="AL12" s="7" t="s">
        <v>7</v>
      </c>
      <c r="AM12" s="7" t="s">
        <v>9</v>
      </c>
      <c r="AN12" s="7" t="s">
        <v>10</v>
      </c>
      <c r="AO12" s="7" t="s">
        <v>97</v>
      </c>
      <c r="AP12" s="7" t="s">
        <v>97</v>
      </c>
      <c r="AQ12" s="7" t="s">
        <v>101</v>
      </c>
      <c r="AR12" s="7" t="s">
        <v>98</v>
      </c>
      <c r="AS12" s="7" t="s">
        <v>99</v>
      </c>
      <c r="AT12" s="7" t="s">
        <v>99</v>
      </c>
      <c r="AU12" s="7" t="s">
        <v>98</v>
      </c>
      <c r="AV12" s="7" t="s">
        <v>101</v>
      </c>
      <c r="AW12" s="7" t="s">
        <v>163</v>
      </c>
      <c r="AX12" s="7" t="s">
        <v>164</v>
      </c>
      <c r="AY12" s="7" t="s">
        <v>143</v>
      </c>
      <c r="AZ12" s="7" t="s">
        <v>164</v>
      </c>
    </row>
    <row r="13" ht="22.5" customHeight="1">
      <c r="A13" s="8">
        <v>46246.91447701389</v>
      </c>
      <c r="B13" s="7" t="s">
        <v>124</v>
      </c>
      <c r="C13" s="9" t="s">
        <v>121</v>
      </c>
      <c r="D13" s="9" t="s">
        <v>165</v>
      </c>
      <c r="E13" s="9" t="s">
        <v>10</v>
      </c>
      <c r="F13" s="9" t="s">
        <v>10</v>
      </c>
      <c r="G13" s="9" t="s">
        <v>10</v>
      </c>
      <c r="H13" s="9" t="s">
        <v>10</v>
      </c>
      <c r="I13" s="9" t="s">
        <v>10</v>
      </c>
      <c r="J13" s="9" t="s">
        <v>10</v>
      </c>
      <c r="K13" s="9" t="s">
        <v>10</v>
      </c>
      <c r="L13" s="9" t="s">
        <v>10</v>
      </c>
      <c r="M13" s="9" t="s">
        <v>10</v>
      </c>
      <c r="N13" s="9" t="s">
        <v>10</v>
      </c>
      <c r="O13" s="9" t="s">
        <v>10</v>
      </c>
      <c r="P13" s="9" t="s">
        <v>10</v>
      </c>
      <c r="Q13" s="9" t="s">
        <v>10</v>
      </c>
      <c r="R13" s="9" t="s">
        <v>10</v>
      </c>
      <c r="S13" s="9" t="s">
        <v>10</v>
      </c>
      <c r="T13" s="9" t="s">
        <v>10</v>
      </c>
      <c r="U13" s="9" t="s">
        <v>10</v>
      </c>
      <c r="V13" s="9" t="s">
        <v>9</v>
      </c>
      <c r="W13" s="9" t="s">
        <v>10</v>
      </c>
      <c r="X13" s="9" t="s">
        <v>10</v>
      </c>
      <c r="Y13" s="9" t="s">
        <v>10</v>
      </c>
      <c r="Z13" s="9" t="s">
        <v>10</v>
      </c>
      <c r="AA13" s="9" t="s">
        <v>10</v>
      </c>
      <c r="AB13" s="9" t="s">
        <v>10</v>
      </c>
      <c r="AC13" s="9" t="s">
        <v>10</v>
      </c>
      <c r="AD13" s="9" t="s">
        <v>10</v>
      </c>
      <c r="AE13" s="9" t="s">
        <v>7</v>
      </c>
      <c r="AF13" s="9" t="s">
        <v>10</v>
      </c>
      <c r="AG13" s="9" t="s">
        <v>10</v>
      </c>
      <c r="AH13" s="9" t="s">
        <v>10</v>
      </c>
      <c r="AI13" s="9" t="s">
        <v>10</v>
      </c>
      <c r="AJ13" s="9" t="s">
        <v>10</v>
      </c>
      <c r="AK13" s="9" t="s">
        <v>7</v>
      </c>
      <c r="AL13" s="9" t="s">
        <v>5</v>
      </c>
      <c r="AM13" s="9" t="s">
        <v>9</v>
      </c>
      <c r="AN13" s="9" t="s">
        <v>10</v>
      </c>
      <c r="AO13" s="9" t="s">
        <v>98</v>
      </c>
      <c r="AP13" s="9" t="s">
        <v>98</v>
      </c>
      <c r="AQ13" s="9" t="s">
        <v>98</v>
      </c>
      <c r="AR13" s="9" t="s">
        <v>98</v>
      </c>
      <c r="AS13" s="9" t="s">
        <v>98</v>
      </c>
      <c r="AT13" s="9" t="s">
        <v>97</v>
      </c>
      <c r="AU13" s="9" t="s">
        <v>98</v>
      </c>
      <c r="AV13" s="9" t="s">
        <v>98</v>
      </c>
      <c r="AW13" s="9" t="s">
        <v>103</v>
      </c>
      <c r="AX13" s="9" t="s">
        <v>103</v>
      </c>
      <c r="AY13" s="9" t="s">
        <v>135</v>
      </c>
      <c r="AZ13" s="9" t="s">
        <v>166</v>
      </c>
    </row>
    <row r="14" ht="22.5" customHeight="1">
      <c r="A14" s="8">
        <v>46247.01239484954</v>
      </c>
      <c r="B14" s="7" t="s">
        <v>129</v>
      </c>
      <c r="C14" s="9" t="s">
        <v>123</v>
      </c>
      <c r="D14" s="9" t="s">
        <v>167</v>
      </c>
      <c r="E14" s="9" t="s">
        <v>7</v>
      </c>
      <c r="F14" s="9" t="s">
        <v>10</v>
      </c>
      <c r="G14" s="9" t="s">
        <v>5</v>
      </c>
      <c r="H14" s="9" t="s">
        <v>9</v>
      </c>
      <c r="I14" s="9" t="s">
        <v>5</v>
      </c>
      <c r="J14" s="9" t="s">
        <v>5</v>
      </c>
      <c r="K14" s="9" t="s">
        <v>9</v>
      </c>
      <c r="L14" s="9" t="s">
        <v>10</v>
      </c>
      <c r="M14" s="9" t="s">
        <v>5</v>
      </c>
      <c r="N14" s="9" t="s">
        <v>9</v>
      </c>
      <c r="O14" s="9" t="s">
        <v>9</v>
      </c>
      <c r="P14" s="9" t="s">
        <v>9</v>
      </c>
      <c r="Q14" s="9" t="s">
        <v>10</v>
      </c>
      <c r="R14" s="9" t="s">
        <v>9</v>
      </c>
      <c r="S14" s="9" t="s">
        <v>9</v>
      </c>
      <c r="T14" s="9" t="s">
        <v>9</v>
      </c>
      <c r="U14" s="9" t="s">
        <v>9</v>
      </c>
      <c r="V14" s="9" t="s">
        <v>10</v>
      </c>
      <c r="W14" s="9" t="s">
        <v>10</v>
      </c>
      <c r="X14" s="9" t="s">
        <v>7</v>
      </c>
      <c r="Y14" s="9" t="s">
        <v>10</v>
      </c>
      <c r="Z14" s="9" t="s">
        <v>9</v>
      </c>
      <c r="AA14" s="9" t="s">
        <v>10</v>
      </c>
      <c r="AB14" s="9" t="s">
        <v>10</v>
      </c>
      <c r="AC14" s="9" t="s">
        <v>10</v>
      </c>
      <c r="AD14" s="9" t="s">
        <v>10</v>
      </c>
      <c r="AE14" s="9" t="s">
        <v>10</v>
      </c>
      <c r="AF14" s="9" t="s">
        <v>9</v>
      </c>
      <c r="AG14" s="9" t="s">
        <v>10</v>
      </c>
      <c r="AH14" s="9" t="s">
        <v>5</v>
      </c>
      <c r="AI14" s="9" t="s">
        <v>9</v>
      </c>
      <c r="AJ14" s="9" t="s">
        <v>10</v>
      </c>
      <c r="AK14" s="9" t="s">
        <v>10</v>
      </c>
      <c r="AL14" s="9" t="s">
        <v>10</v>
      </c>
      <c r="AM14" s="9" t="s">
        <v>10</v>
      </c>
      <c r="AN14" s="9" t="s">
        <v>10</v>
      </c>
      <c r="AO14" s="9" t="s">
        <v>97</v>
      </c>
      <c r="AP14" s="9" t="s">
        <v>99</v>
      </c>
      <c r="AQ14" s="9" t="s">
        <v>97</v>
      </c>
      <c r="AR14" s="9" t="s">
        <v>99</v>
      </c>
      <c r="AS14" s="9" t="s">
        <v>97</v>
      </c>
      <c r="AT14" s="9" t="s">
        <v>101</v>
      </c>
      <c r="AU14" s="9" t="s">
        <v>98</v>
      </c>
      <c r="AV14" s="9" t="s">
        <v>101</v>
      </c>
      <c r="AW14" s="9" t="s">
        <v>168</v>
      </c>
      <c r="AX14" s="9" t="s">
        <v>169</v>
      </c>
      <c r="AY14" s="9" t="s">
        <v>135</v>
      </c>
      <c r="AZ14" s="9" t="s">
        <v>170</v>
      </c>
    </row>
    <row r="15" ht="22.5" customHeight="1">
      <c r="A15" s="8">
        <v>46247.53354724537</v>
      </c>
      <c r="B15" s="7" t="s">
        <v>131</v>
      </c>
      <c r="C15" s="9" t="s">
        <v>124</v>
      </c>
      <c r="D15" s="9" t="s">
        <v>171</v>
      </c>
      <c r="E15" s="9" t="s">
        <v>5</v>
      </c>
      <c r="F15" s="9" t="s">
        <v>5</v>
      </c>
      <c r="G15" s="9" t="s">
        <v>5</v>
      </c>
      <c r="H15" s="9" t="s">
        <v>5</v>
      </c>
      <c r="I15" s="9" t="s">
        <v>5</v>
      </c>
      <c r="J15" s="9" t="s">
        <v>5</v>
      </c>
      <c r="K15" s="9" t="s">
        <v>5</v>
      </c>
      <c r="L15" s="9" t="s">
        <v>5</v>
      </c>
      <c r="M15" s="9" t="s">
        <v>7</v>
      </c>
      <c r="N15" s="9" t="s">
        <v>9</v>
      </c>
      <c r="O15" s="9" t="s">
        <v>9</v>
      </c>
      <c r="P15" s="9" t="s">
        <v>5</v>
      </c>
      <c r="Q15" s="9" t="s">
        <v>5</v>
      </c>
      <c r="R15" s="9" t="s">
        <v>7</v>
      </c>
      <c r="S15" s="9" t="s">
        <v>10</v>
      </c>
      <c r="T15" s="9" t="s">
        <v>9</v>
      </c>
      <c r="U15" s="9" t="s">
        <v>10</v>
      </c>
      <c r="V15" s="9" t="s">
        <v>7</v>
      </c>
      <c r="W15" s="9" t="s">
        <v>7</v>
      </c>
      <c r="X15" s="9" t="s">
        <v>7</v>
      </c>
      <c r="Y15" s="9" t="s">
        <v>9</v>
      </c>
      <c r="Z15" s="9" t="s">
        <v>7</v>
      </c>
      <c r="AA15" s="9" t="s">
        <v>7</v>
      </c>
      <c r="AB15" s="9" t="s">
        <v>9</v>
      </c>
      <c r="AC15" s="9" t="s">
        <v>7</v>
      </c>
      <c r="AD15" s="9" t="s">
        <v>10</v>
      </c>
      <c r="AE15" s="9" t="s">
        <v>9</v>
      </c>
      <c r="AF15" s="9" t="s">
        <v>7</v>
      </c>
      <c r="AG15" s="9" t="s">
        <v>7</v>
      </c>
      <c r="AH15" s="9" t="s">
        <v>7</v>
      </c>
      <c r="AI15" s="9" t="s">
        <v>7</v>
      </c>
      <c r="AJ15" s="9" t="s">
        <v>10</v>
      </c>
      <c r="AK15" s="9" t="s">
        <v>7</v>
      </c>
      <c r="AL15" s="9" t="s">
        <v>7</v>
      </c>
      <c r="AM15" s="9" t="s">
        <v>7</v>
      </c>
      <c r="AN15" s="9" t="s">
        <v>10</v>
      </c>
      <c r="AO15" s="9" t="s">
        <v>97</v>
      </c>
      <c r="AP15" s="9" t="s">
        <v>99</v>
      </c>
      <c r="AQ15" s="9" t="s">
        <v>101</v>
      </c>
      <c r="AR15" s="9" t="s">
        <v>97</v>
      </c>
      <c r="AS15" s="9" t="s">
        <v>97</v>
      </c>
      <c r="AT15" s="9" t="s">
        <v>101</v>
      </c>
      <c r="AU15" s="9" t="s">
        <v>98</v>
      </c>
      <c r="AV15" s="9" t="s">
        <v>101</v>
      </c>
      <c r="AW15" s="9" t="s">
        <v>172</v>
      </c>
      <c r="AX15" s="9" t="s">
        <v>103</v>
      </c>
      <c r="AY15" s="9" t="s">
        <v>113</v>
      </c>
      <c r="AZ15" s="9" t="s">
        <v>173</v>
      </c>
    </row>
    <row r="16" ht="22.5" customHeight="1">
      <c r="A16" s="8">
        <v>46247.553784641204</v>
      </c>
      <c r="B16" s="7" t="s">
        <v>132</v>
      </c>
      <c r="C16" s="9" t="s">
        <v>129</v>
      </c>
      <c r="D16" s="9" t="s">
        <v>174</v>
      </c>
      <c r="E16" s="9" t="s">
        <v>9</v>
      </c>
      <c r="F16" s="9" t="s">
        <v>9</v>
      </c>
      <c r="G16" s="9" t="s">
        <v>9</v>
      </c>
      <c r="H16" s="9" t="s">
        <v>7</v>
      </c>
      <c r="I16" s="9" t="s">
        <v>9</v>
      </c>
      <c r="J16" s="9" t="s">
        <v>5</v>
      </c>
      <c r="K16" s="9" t="s">
        <v>5</v>
      </c>
      <c r="L16" s="9" t="s">
        <v>9</v>
      </c>
      <c r="M16" s="9" t="s">
        <v>7</v>
      </c>
      <c r="N16" s="9" t="s">
        <v>5</v>
      </c>
      <c r="O16" s="9" t="s">
        <v>9</v>
      </c>
      <c r="P16" s="9" t="s">
        <v>7</v>
      </c>
      <c r="Q16" s="9" t="s">
        <v>5</v>
      </c>
      <c r="R16" s="9" t="s">
        <v>9</v>
      </c>
      <c r="S16" s="9" t="s">
        <v>5</v>
      </c>
      <c r="T16" s="9" t="s">
        <v>9</v>
      </c>
      <c r="U16" s="9" t="s">
        <v>9</v>
      </c>
      <c r="V16" s="9" t="s">
        <v>7</v>
      </c>
      <c r="W16" s="9" t="s">
        <v>9</v>
      </c>
      <c r="X16" s="9" t="s">
        <v>9</v>
      </c>
      <c r="Y16" s="9" t="s">
        <v>9</v>
      </c>
      <c r="Z16" s="9" t="s">
        <v>9</v>
      </c>
      <c r="AA16" s="9" t="s">
        <v>9</v>
      </c>
      <c r="AB16" s="9" t="s">
        <v>7</v>
      </c>
      <c r="AC16" s="9" t="s">
        <v>7</v>
      </c>
      <c r="AD16" s="9" t="s">
        <v>9</v>
      </c>
      <c r="AE16" s="9" t="s">
        <v>7</v>
      </c>
      <c r="AF16" s="9" t="s">
        <v>7</v>
      </c>
      <c r="AG16" s="9" t="s">
        <v>9</v>
      </c>
      <c r="AH16" s="9" t="s">
        <v>9</v>
      </c>
      <c r="AI16" s="9" t="s">
        <v>5</v>
      </c>
      <c r="AJ16" s="9" t="s">
        <v>9</v>
      </c>
      <c r="AK16" s="9" t="s">
        <v>7</v>
      </c>
      <c r="AL16" s="9" t="s">
        <v>5</v>
      </c>
      <c r="AM16" s="9" t="s">
        <v>7</v>
      </c>
      <c r="AN16" s="9" t="s">
        <v>7</v>
      </c>
      <c r="AO16" s="9" t="s">
        <v>97</v>
      </c>
      <c r="AP16" s="9" t="s">
        <v>97</v>
      </c>
      <c r="AQ16" s="9" t="s">
        <v>99</v>
      </c>
      <c r="AR16" s="9" t="s">
        <v>97</v>
      </c>
      <c r="AS16" s="9" t="s">
        <v>101</v>
      </c>
      <c r="AT16" s="9" t="s">
        <v>99</v>
      </c>
      <c r="AU16" s="9" t="s">
        <v>101</v>
      </c>
      <c r="AV16" s="9" t="s">
        <v>98</v>
      </c>
      <c r="AW16" s="9" t="s">
        <v>175</v>
      </c>
      <c r="AX16" s="9" t="s">
        <v>176</v>
      </c>
      <c r="AY16" s="9" t="s">
        <v>177</v>
      </c>
      <c r="AZ16" s="9" t="s">
        <v>178</v>
      </c>
    </row>
    <row r="17" ht="22.5" customHeight="1">
      <c r="A17" s="8">
        <v>46247.87746416667</v>
      </c>
      <c r="B17" s="7" t="s">
        <v>138</v>
      </c>
      <c r="C17" s="9" t="s">
        <v>131</v>
      </c>
      <c r="D17" s="9" t="s">
        <v>179</v>
      </c>
      <c r="E17" s="9" t="s">
        <v>9</v>
      </c>
      <c r="F17" s="9" t="s">
        <v>9</v>
      </c>
      <c r="G17" s="9" t="s">
        <v>9</v>
      </c>
      <c r="H17" s="9" t="s">
        <v>10</v>
      </c>
      <c r="I17" s="9" t="s">
        <v>10</v>
      </c>
      <c r="J17" s="9" t="s">
        <v>10</v>
      </c>
      <c r="K17" s="9" t="s">
        <v>10</v>
      </c>
      <c r="L17" s="9" t="s">
        <v>10</v>
      </c>
      <c r="M17" s="9" t="s">
        <v>10</v>
      </c>
      <c r="N17" s="9" t="s">
        <v>9</v>
      </c>
      <c r="O17" s="9" t="s">
        <v>7</v>
      </c>
      <c r="P17" s="9" t="s">
        <v>10</v>
      </c>
      <c r="Q17" s="9" t="s">
        <v>9</v>
      </c>
      <c r="R17" s="9" t="s">
        <v>10</v>
      </c>
      <c r="S17" s="9" t="s">
        <v>10</v>
      </c>
      <c r="T17" s="9" t="s">
        <v>9</v>
      </c>
      <c r="U17" s="9" t="s">
        <v>10</v>
      </c>
      <c r="V17" s="9" t="s">
        <v>7</v>
      </c>
      <c r="W17" s="9" t="s">
        <v>5</v>
      </c>
      <c r="X17" s="9" t="s">
        <v>10</v>
      </c>
      <c r="Y17" s="9" t="s">
        <v>10</v>
      </c>
      <c r="Z17" s="9" t="s">
        <v>9</v>
      </c>
      <c r="AA17" s="9" t="s">
        <v>10</v>
      </c>
      <c r="AB17" s="9" t="s">
        <v>10</v>
      </c>
      <c r="AC17" s="9" t="s">
        <v>5</v>
      </c>
      <c r="AD17" s="9" t="s">
        <v>5</v>
      </c>
      <c r="AE17" s="9" t="s">
        <v>5</v>
      </c>
      <c r="AF17" s="9" t="s">
        <v>5</v>
      </c>
      <c r="AG17" s="9" t="s">
        <v>9</v>
      </c>
      <c r="AH17" s="9" t="s">
        <v>5</v>
      </c>
      <c r="AI17" s="9" t="s">
        <v>9</v>
      </c>
      <c r="AJ17" s="9" t="s">
        <v>10</v>
      </c>
      <c r="AK17" s="9" t="s">
        <v>9</v>
      </c>
      <c r="AL17" s="9" t="s">
        <v>5</v>
      </c>
      <c r="AM17" s="9" t="s">
        <v>7</v>
      </c>
      <c r="AN17" s="9" t="s">
        <v>10</v>
      </c>
      <c r="AO17" s="9" t="s">
        <v>101</v>
      </c>
      <c r="AP17" s="9" t="s">
        <v>98</v>
      </c>
      <c r="AQ17" s="9" t="s">
        <v>98</v>
      </c>
      <c r="AR17" s="9" t="s">
        <v>101</v>
      </c>
      <c r="AS17" s="9" t="s">
        <v>99</v>
      </c>
      <c r="AT17" s="9" t="s">
        <v>97</v>
      </c>
      <c r="AU17" s="9" t="s">
        <v>98</v>
      </c>
      <c r="AV17" s="9" t="s">
        <v>98</v>
      </c>
      <c r="AW17" s="9" t="s">
        <v>134</v>
      </c>
      <c r="AX17" s="9" t="s">
        <v>134</v>
      </c>
      <c r="AY17" s="9" t="s">
        <v>135</v>
      </c>
      <c r="AZ17" s="9" t="s">
        <v>180</v>
      </c>
    </row>
    <row r="18" ht="22.5" customHeight="1">
      <c r="A18" s="8">
        <v>46247.94180701389</v>
      </c>
      <c r="B18" s="7" t="s">
        <v>139</v>
      </c>
      <c r="C18" s="9" t="s">
        <v>132</v>
      </c>
      <c r="D18" s="9" t="s">
        <v>181</v>
      </c>
      <c r="E18" s="9" t="s">
        <v>7</v>
      </c>
      <c r="F18" s="9" t="s">
        <v>7</v>
      </c>
      <c r="G18" s="9" t="s">
        <v>7</v>
      </c>
      <c r="H18" s="9" t="s">
        <v>9</v>
      </c>
      <c r="I18" s="9" t="s">
        <v>7</v>
      </c>
      <c r="J18" s="9" t="s">
        <v>9</v>
      </c>
      <c r="K18" s="9" t="s">
        <v>9</v>
      </c>
      <c r="L18" s="9" t="s">
        <v>9</v>
      </c>
      <c r="M18" s="9" t="s">
        <v>5</v>
      </c>
      <c r="N18" s="9" t="s">
        <v>9</v>
      </c>
      <c r="O18" s="9" t="s">
        <v>9</v>
      </c>
      <c r="P18" s="9" t="s">
        <v>9</v>
      </c>
      <c r="Q18" s="9" t="s">
        <v>9</v>
      </c>
      <c r="R18" s="9" t="s">
        <v>7</v>
      </c>
      <c r="S18" s="9" t="s">
        <v>7</v>
      </c>
      <c r="T18" s="9" t="s">
        <v>9</v>
      </c>
      <c r="U18" s="9" t="s">
        <v>9</v>
      </c>
      <c r="V18" s="9" t="s">
        <v>7</v>
      </c>
      <c r="W18" s="9" t="s">
        <v>7</v>
      </c>
      <c r="X18" s="9" t="s">
        <v>9</v>
      </c>
      <c r="Y18" s="9" t="s">
        <v>5</v>
      </c>
      <c r="Z18" s="9" t="s">
        <v>9</v>
      </c>
      <c r="AA18" s="9" t="s">
        <v>9</v>
      </c>
      <c r="AB18" s="9" t="s">
        <v>9</v>
      </c>
      <c r="AC18" s="9" t="s">
        <v>9</v>
      </c>
      <c r="AD18" s="9" t="s">
        <v>9</v>
      </c>
      <c r="AE18" s="9" t="s">
        <v>9</v>
      </c>
      <c r="AF18" s="9" t="s">
        <v>9</v>
      </c>
      <c r="AG18" s="9" t="s">
        <v>9</v>
      </c>
      <c r="AH18" s="9" t="s">
        <v>5</v>
      </c>
      <c r="AI18" s="9" t="s">
        <v>9</v>
      </c>
      <c r="AJ18" s="9" t="s">
        <v>9</v>
      </c>
      <c r="AK18" s="9" t="s">
        <v>9</v>
      </c>
      <c r="AL18" s="9" t="s">
        <v>9</v>
      </c>
      <c r="AM18" s="9" t="s">
        <v>9</v>
      </c>
      <c r="AN18" s="9" t="s">
        <v>9</v>
      </c>
      <c r="AO18" s="9" t="s">
        <v>99</v>
      </c>
      <c r="AP18" s="9" t="s">
        <v>99</v>
      </c>
      <c r="AQ18" s="9" t="s">
        <v>98</v>
      </c>
      <c r="AR18" s="9" t="s">
        <v>98</v>
      </c>
      <c r="AS18" s="9" t="s">
        <v>101</v>
      </c>
      <c r="AT18" s="9" t="s">
        <v>101</v>
      </c>
      <c r="AU18" s="9" t="s">
        <v>98</v>
      </c>
      <c r="AV18" s="9" t="s">
        <v>98</v>
      </c>
      <c r="AW18" s="9" t="s">
        <v>103</v>
      </c>
      <c r="AX18" s="9" t="s">
        <v>103</v>
      </c>
      <c r="AY18" s="9" t="s">
        <v>135</v>
      </c>
      <c r="AZ18" s="9" t="s">
        <v>103</v>
      </c>
    </row>
    <row r="19" ht="22.5" customHeight="1">
      <c r="A19" s="8">
        <v>46248.39507570602</v>
      </c>
      <c r="B19" s="7" t="s">
        <v>140</v>
      </c>
      <c r="C19" s="9" t="s">
        <v>138</v>
      </c>
      <c r="D19" s="9" t="s">
        <v>182</v>
      </c>
      <c r="E19" s="9" t="s">
        <v>5</v>
      </c>
      <c r="F19" s="9" t="s">
        <v>7</v>
      </c>
      <c r="G19" s="9" t="s">
        <v>7</v>
      </c>
      <c r="H19" s="9" t="s">
        <v>5</v>
      </c>
      <c r="I19" s="9" t="s">
        <v>7</v>
      </c>
      <c r="J19" s="9" t="s">
        <v>9</v>
      </c>
      <c r="K19" s="9" t="s">
        <v>7</v>
      </c>
      <c r="L19" s="9" t="s">
        <v>7</v>
      </c>
      <c r="M19" s="9" t="s">
        <v>9</v>
      </c>
      <c r="N19" s="9" t="s">
        <v>7</v>
      </c>
      <c r="O19" s="9" t="s">
        <v>5</v>
      </c>
      <c r="P19" s="9" t="s">
        <v>9</v>
      </c>
      <c r="Q19" s="9" t="s">
        <v>7</v>
      </c>
      <c r="R19" s="9" t="s">
        <v>7</v>
      </c>
      <c r="S19" s="9" t="s">
        <v>9</v>
      </c>
      <c r="T19" s="9" t="s">
        <v>5</v>
      </c>
      <c r="U19" s="9" t="s">
        <v>5</v>
      </c>
      <c r="V19" s="9" t="s">
        <v>5</v>
      </c>
      <c r="W19" s="9" t="s">
        <v>7</v>
      </c>
      <c r="X19" s="9" t="s">
        <v>9</v>
      </c>
      <c r="Y19" s="9" t="s">
        <v>7</v>
      </c>
      <c r="Z19" s="9" t="s">
        <v>5</v>
      </c>
      <c r="AA19" s="9" t="s">
        <v>5</v>
      </c>
      <c r="AB19" s="9" t="s">
        <v>7</v>
      </c>
      <c r="AC19" s="9" t="s">
        <v>7</v>
      </c>
      <c r="AD19" s="9" t="s">
        <v>5</v>
      </c>
      <c r="AE19" s="9" t="s">
        <v>5</v>
      </c>
      <c r="AF19" s="9" t="s">
        <v>7</v>
      </c>
      <c r="AG19" s="9" t="s">
        <v>5</v>
      </c>
      <c r="AH19" s="9" t="s">
        <v>7</v>
      </c>
      <c r="AI19" s="9" t="s">
        <v>10</v>
      </c>
      <c r="AJ19" s="9" t="s">
        <v>9</v>
      </c>
      <c r="AK19" s="9" t="s">
        <v>7</v>
      </c>
      <c r="AL19" s="9" t="s">
        <v>5</v>
      </c>
      <c r="AM19" s="9" t="s">
        <v>5</v>
      </c>
      <c r="AN19" s="9" t="s">
        <v>9</v>
      </c>
      <c r="AO19" s="9" t="s">
        <v>97</v>
      </c>
      <c r="AP19" s="9" t="s">
        <v>99</v>
      </c>
      <c r="AQ19" s="9" t="s">
        <v>101</v>
      </c>
      <c r="AR19" s="9" t="s">
        <v>99</v>
      </c>
      <c r="AS19" s="9" t="s">
        <v>99</v>
      </c>
      <c r="AT19" s="9" t="s">
        <v>97</v>
      </c>
      <c r="AU19" s="9" t="s">
        <v>101</v>
      </c>
      <c r="AV19" s="9" t="s">
        <v>97</v>
      </c>
      <c r="AW19" s="9" t="s">
        <v>183</v>
      </c>
      <c r="AX19" s="9" t="s">
        <v>184</v>
      </c>
      <c r="AY19" s="9" t="s">
        <v>127</v>
      </c>
      <c r="AZ19" s="9" t="s">
        <v>185</v>
      </c>
    </row>
    <row r="20" ht="22.5" customHeight="1">
      <c r="A20" s="8">
        <v>46248.57848969907</v>
      </c>
      <c r="B20" s="7" t="s">
        <v>146</v>
      </c>
      <c r="C20" s="9" t="s">
        <v>139</v>
      </c>
      <c r="D20" s="9" t="s">
        <v>186</v>
      </c>
      <c r="E20" s="9" t="s">
        <v>5</v>
      </c>
      <c r="F20" s="9" t="s">
        <v>5</v>
      </c>
      <c r="G20" s="9" t="s">
        <v>5</v>
      </c>
      <c r="H20" s="9" t="s">
        <v>10</v>
      </c>
      <c r="I20" s="9" t="s">
        <v>10</v>
      </c>
      <c r="J20" s="9" t="s">
        <v>9</v>
      </c>
      <c r="K20" s="9" t="s">
        <v>10</v>
      </c>
      <c r="L20" s="9" t="s">
        <v>7</v>
      </c>
      <c r="M20" s="9" t="s">
        <v>10</v>
      </c>
      <c r="N20" s="9" t="s">
        <v>10</v>
      </c>
      <c r="O20" s="9" t="s">
        <v>9</v>
      </c>
      <c r="P20" s="9" t="s">
        <v>10</v>
      </c>
      <c r="Q20" s="9" t="s">
        <v>5</v>
      </c>
      <c r="R20" s="9" t="s">
        <v>10</v>
      </c>
      <c r="S20" s="9" t="s">
        <v>10</v>
      </c>
      <c r="T20" s="9" t="s">
        <v>9</v>
      </c>
      <c r="U20" s="9" t="s">
        <v>9</v>
      </c>
      <c r="V20" s="9" t="s">
        <v>5</v>
      </c>
      <c r="W20" s="9" t="s">
        <v>9</v>
      </c>
      <c r="X20" s="9" t="s">
        <v>10</v>
      </c>
      <c r="Y20" s="9" t="s">
        <v>10</v>
      </c>
      <c r="Z20" s="9" t="s">
        <v>5</v>
      </c>
      <c r="AA20" s="9" t="s">
        <v>5</v>
      </c>
      <c r="AB20" s="9" t="s">
        <v>10</v>
      </c>
      <c r="AC20" s="9" t="s">
        <v>5</v>
      </c>
      <c r="AD20" s="9" t="s">
        <v>10</v>
      </c>
      <c r="AE20" s="9" t="s">
        <v>7</v>
      </c>
      <c r="AF20" s="9" t="s">
        <v>9</v>
      </c>
      <c r="AG20" s="9" t="s">
        <v>10</v>
      </c>
      <c r="AH20" s="9" t="s">
        <v>10</v>
      </c>
      <c r="AI20" s="9" t="s">
        <v>7</v>
      </c>
      <c r="AJ20" s="9" t="s">
        <v>9</v>
      </c>
      <c r="AK20" s="9" t="s">
        <v>7</v>
      </c>
      <c r="AL20" s="9" t="s">
        <v>5</v>
      </c>
      <c r="AM20" s="9" t="s">
        <v>9</v>
      </c>
      <c r="AN20" s="9" t="s">
        <v>10</v>
      </c>
      <c r="AO20" s="9" t="s">
        <v>97</v>
      </c>
      <c r="AP20" s="9" t="s">
        <v>101</v>
      </c>
      <c r="AQ20" s="9" t="s">
        <v>101</v>
      </c>
      <c r="AR20" s="9" t="s">
        <v>101</v>
      </c>
      <c r="AS20" s="9" t="s">
        <v>101</v>
      </c>
      <c r="AT20" s="9" t="s">
        <v>99</v>
      </c>
      <c r="AU20" s="9" t="s">
        <v>99</v>
      </c>
      <c r="AV20" s="9" t="s">
        <v>98</v>
      </c>
      <c r="AW20" s="9" t="s">
        <v>187</v>
      </c>
      <c r="AX20" s="9" t="s">
        <v>134</v>
      </c>
      <c r="AY20" s="9" t="s">
        <v>127</v>
      </c>
      <c r="AZ20" s="9" t="s">
        <v>188</v>
      </c>
    </row>
    <row r="21" ht="22.5" customHeight="1">
      <c r="A21" s="8">
        <v>46250.80434508102</v>
      </c>
      <c r="B21" s="7" t="s">
        <v>147</v>
      </c>
      <c r="C21" s="9" t="s">
        <v>140</v>
      </c>
      <c r="D21" s="9" t="s">
        <v>189</v>
      </c>
      <c r="E21" s="9" t="s">
        <v>9</v>
      </c>
      <c r="F21" s="9" t="s">
        <v>7</v>
      </c>
      <c r="G21" s="9" t="s">
        <v>9</v>
      </c>
      <c r="H21" s="9" t="s">
        <v>7</v>
      </c>
      <c r="I21" s="9" t="s">
        <v>9</v>
      </c>
      <c r="J21" s="9" t="s">
        <v>9</v>
      </c>
      <c r="K21" s="9" t="s">
        <v>9</v>
      </c>
      <c r="L21" s="9" t="s">
        <v>9</v>
      </c>
      <c r="M21" s="9" t="s">
        <v>7</v>
      </c>
      <c r="N21" s="9" t="s">
        <v>7</v>
      </c>
      <c r="O21" s="9" t="s">
        <v>7</v>
      </c>
      <c r="P21" s="9" t="s">
        <v>5</v>
      </c>
      <c r="Q21" s="9" t="s">
        <v>9</v>
      </c>
      <c r="R21" s="9" t="s">
        <v>9</v>
      </c>
      <c r="S21" s="9" t="s">
        <v>9</v>
      </c>
      <c r="T21" s="9" t="s">
        <v>7</v>
      </c>
      <c r="U21" s="9" t="s">
        <v>7</v>
      </c>
      <c r="V21" s="9" t="s">
        <v>7</v>
      </c>
      <c r="W21" s="9" t="s">
        <v>9</v>
      </c>
      <c r="X21" s="9" t="s">
        <v>5</v>
      </c>
      <c r="Y21" s="9" t="s">
        <v>5</v>
      </c>
      <c r="Z21" s="9" t="s">
        <v>5</v>
      </c>
      <c r="AA21" s="9" t="s">
        <v>7</v>
      </c>
      <c r="AB21" s="9" t="s">
        <v>7</v>
      </c>
      <c r="AC21" s="9" t="s">
        <v>5</v>
      </c>
      <c r="AD21" s="9" t="s">
        <v>5</v>
      </c>
      <c r="AE21" s="9" t="s">
        <v>5</v>
      </c>
      <c r="AF21" s="9" t="s">
        <v>5</v>
      </c>
      <c r="AG21" s="9" t="s">
        <v>5</v>
      </c>
      <c r="AH21" s="9" t="s">
        <v>5</v>
      </c>
      <c r="AI21" s="9" t="s">
        <v>9</v>
      </c>
      <c r="AJ21" s="9" t="s">
        <v>7</v>
      </c>
      <c r="AK21" s="9" t="s">
        <v>5</v>
      </c>
      <c r="AL21" s="9" t="s">
        <v>5</v>
      </c>
      <c r="AM21" s="9" t="s">
        <v>5</v>
      </c>
      <c r="AN21" s="9" t="s">
        <v>7</v>
      </c>
      <c r="AO21" s="9" t="s">
        <v>99</v>
      </c>
      <c r="AP21" s="9" t="s">
        <v>101</v>
      </c>
      <c r="AQ21" s="9" t="s">
        <v>101</v>
      </c>
      <c r="AR21" s="9" t="s">
        <v>99</v>
      </c>
      <c r="AS21" s="9" t="s">
        <v>99</v>
      </c>
      <c r="AT21" s="9" t="s">
        <v>99</v>
      </c>
      <c r="AU21" s="9" t="s">
        <v>101</v>
      </c>
      <c r="AV21" s="9" t="s">
        <v>99</v>
      </c>
      <c r="AW21" s="9" t="s">
        <v>190</v>
      </c>
      <c r="AX21" s="9" t="s">
        <v>190</v>
      </c>
      <c r="AY21" s="9" t="s">
        <v>143</v>
      </c>
      <c r="AZ21" s="9" t="s">
        <v>134</v>
      </c>
    </row>
    <row r="22" ht="22.5" customHeight="1">
      <c r="A22" s="8">
        <v>46251.43337564815</v>
      </c>
      <c r="B22" s="7" t="s">
        <v>148</v>
      </c>
      <c r="C22" s="9" t="s">
        <v>146</v>
      </c>
      <c r="D22" s="9" t="s">
        <v>191</v>
      </c>
      <c r="E22" s="9" t="s">
        <v>5</v>
      </c>
      <c r="F22" s="9" t="s">
        <v>7</v>
      </c>
      <c r="G22" s="9" t="s">
        <v>5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9</v>
      </c>
      <c r="M22" s="9" t="s">
        <v>7</v>
      </c>
      <c r="N22" s="9" t="s">
        <v>7</v>
      </c>
      <c r="O22" s="9" t="s">
        <v>9</v>
      </c>
      <c r="P22" s="9" t="s">
        <v>7</v>
      </c>
      <c r="Q22" s="9" t="s">
        <v>9</v>
      </c>
      <c r="R22" s="9" t="s">
        <v>9</v>
      </c>
      <c r="S22" s="9" t="s">
        <v>7</v>
      </c>
      <c r="T22" s="9" t="s">
        <v>7</v>
      </c>
      <c r="U22" s="9" t="s">
        <v>9</v>
      </c>
      <c r="V22" s="9" t="s">
        <v>9</v>
      </c>
      <c r="W22" s="9" t="s">
        <v>9</v>
      </c>
      <c r="X22" s="9" t="s">
        <v>9</v>
      </c>
      <c r="Y22" s="9" t="s">
        <v>9</v>
      </c>
      <c r="Z22" s="9" t="s">
        <v>7</v>
      </c>
      <c r="AA22" s="9" t="s">
        <v>9</v>
      </c>
      <c r="AB22" s="9" t="s">
        <v>9</v>
      </c>
      <c r="AC22" s="9" t="s">
        <v>9</v>
      </c>
      <c r="AD22" s="9" t="s">
        <v>9</v>
      </c>
      <c r="AE22" s="9" t="s">
        <v>7</v>
      </c>
      <c r="AF22" s="9" t="s">
        <v>9</v>
      </c>
      <c r="AG22" s="9" t="s">
        <v>9</v>
      </c>
      <c r="AH22" s="9" t="s">
        <v>9</v>
      </c>
      <c r="AI22" s="9" t="s">
        <v>9</v>
      </c>
      <c r="AJ22" s="9" t="s">
        <v>9</v>
      </c>
      <c r="AK22" s="9" t="s">
        <v>9</v>
      </c>
      <c r="AL22" s="9" t="s">
        <v>9</v>
      </c>
      <c r="AM22" s="9" t="s">
        <v>9</v>
      </c>
      <c r="AN22" s="9" t="s">
        <v>9</v>
      </c>
      <c r="AO22" s="9" t="s">
        <v>97</v>
      </c>
      <c r="AP22" s="9" t="s">
        <v>99</v>
      </c>
      <c r="AQ22" s="9" t="s">
        <v>99</v>
      </c>
      <c r="AR22" s="9" t="s">
        <v>101</v>
      </c>
      <c r="AS22" s="9" t="s">
        <v>99</v>
      </c>
      <c r="AT22" s="9" t="s">
        <v>101</v>
      </c>
      <c r="AU22" s="9" t="s">
        <v>97</v>
      </c>
      <c r="AV22" s="9" t="s">
        <v>99</v>
      </c>
      <c r="AW22" s="9" t="s">
        <v>103</v>
      </c>
      <c r="AX22" s="9" t="s">
        <v>103</v>
      </c>
      <c r="AY22" s="9" t="s">
        <v>104</v>
      </c>
      <c r="AZ22" s="9" t="s">
        <v>192</v>
      </c>
    </row>
    <row r="23" ht="22.5" customHeight="1">
      <c r="A23" s="8">
        <v>46253.64262190972</v>
      </c>
      <c r="B23" s="7" t="s">
        <v>149</v>
      </c>
      <c r="C23" s="9" t="s">
        <v>147</v>
      </c>
      <c r="D23" s="9" t="s">
        <v>193</v>
      </c>
      <c r="E23" s="9" t="s">
        <v>9</v>
      </c>
      <c r="F23" s="9" t="s">
        <v>9</v>
      </c>
      <c r="G23" s="9" t="s">
        <v>9</v>
      </c>
      <c r="H23" s="9" t="s">
        <v>5</v>
      </c>
      <c r="I23" s="9" t="s">
        <v>9</v>
      </c>
      <c r="J23" s="9" t="s">
        <v>9</v>
      </c>
      <c r="K23" s="9" t="s">
        <v>9</v>
      </c>
      <c r="L23" s="9" t="s">
        <v>9</v>
      </c>
      <c r="M23" s="9" t="s">
        <v>9</v>
      </c>
      <c r="N23" s="9" t="s">
        <v>5</v>
      </c>
      <c r="O23" s="9" t="s">
        <v>5</v>
      </c>
      <c r="P23" s="9" t="s">
        <v>5</v>
      </c>
      <c r="Q23" s="9" t="s">
        <v>9</v>
      </c>
      <c r="R23" s="9" t="s">
        <v>9</v>
      </c>
      <c r="S23" s="9" t="s">
        <v>9</v>
      </c>
      <c r="T23" s="9" t="s">
        <v>9</v>
      </c>
      <c r="U23" s="9" t="s">
        <v>9</v>
      </c>
      <c r="V23" s="9" t="s">
        <v>7</v>
      </c>
      <c r="W23" s="9" t="s">
        <v>9</v>
      </c>
      <c r="X23" s="9" t="s">
        <v>9</v>
      </c>
      <c r="Y23" s="9" t="s">
        <v>9</v>
      </c>
      <c r="Z23" s="9" t="s">
        <v>9</v>
      </c>
      <c r="AA23" s="9" t="s">
        <v>9</v>
      </c>
      <c r="AB23" s="9" t="s">
        <v>9</v>
      </c>
      <c r="AC23" s="9" t="s">
        <v>9</v>
      </c>
      <c r="AD23" s="9" t="s">
        <v>9</v>
      </c>
      <c r="AE23" s="9" t="s">
        <v>7</v>
      </c>
      <c r="AF23" s="9" t="s">
        <v>9</v>
      </c>
      <c r="AG23" s="9" t="s">
        <v>9</v>
      </c>
      <c r="AH23" s="9" t="s">
        <v>9</v>
      </c>
      <c r="AI23" s="9" t="s">
        <v>9</v>
      </c>
      <c r="AJ23" s="9" t="s">
        <v>7</v>
      </c>
      <c r="AK23" s="9" t="s">
        <v>7</v>
      </c>
      <c r="AL23" s="9" t="s">
        <v>9</v>
      </c>
      <c r="AM23" s="9" t="s">
        <v>7</v>
      </c>
      <c r="AN23" s="9" t="s">
        <v>5</v>
      </c>
      <c r="AO23" s="9" t="s">
        <v>99</v>
      </c>
      <c r="AP23" s="9" t="s">
        <v>101</v>
      </c>
      <c r="AQ23" s="9" t="s">
        <v>99</v>
      </c>
      <c r="AR23" s="9" t="s">
        <v>97</v>
      </c>
      <c r="AS23" s="9" t="s">
        <v>99</v>
      </c>
      <c r="AT23" s="9" t="s">
        <v>99</v>
      </c>
      <c r="AU23" s="9" t="s">
        <v>101</v>
      </c>
      <c r="AV23" s="9" t="s">
        <v>101</v>
      </c>
      <c r="AW23" s="9" t="s">
        <v>194</v>
      </c>
      <c r="AX23" s="9" t="s">
        <v>194</v>
      </c>
      <c r="AY23" s="9" t="s">
        <v>177</v>
      </c>
      <c r="AZ23" s="9" t="s">
        <v>195</v>
      </c>
    </row>
    <row r="24" ht="22.5" customHeight="1">
      <c r="A24" s="8">
        <v>46254.58276560185</v>
      </c>
      <c r="B24" s="7" t="s">
        <v>152</v>
      </c>
      <c r="C24" s="9" t="s">
        <v>148</v>
      </c>
      <c r="D24" s="9" t="s">
        <v>196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9</v>
      </c>
      <c r="L24" s="9" t="s">
        <v>5</v>
      </c>
      <c r="M24" s="9" t="s">
        <v>7</v>
      </c>
      <c r="N24" s="9" t="s">
        <v>9</v>
      </c>
      <c r="O24" s="9" t="s">
        <v>5</v>
      </c>
      <c r="P24" s="9" t="s">
        <v>7</v>
      </c>
      <c r="Q24" s="9" t="s">
        <v>7</v>
      </c>
      <c r="R24" s="9" t="s">
        <v>7</v>
      </c>
      <c r="S24" s="9" t="s">
        <v>7</v>
      </c>
      <c r="T24" s="9" t="s">
        <v>5</v>
      </c>
      <c r="U24" s="9" t="s">
        <v>7</v>
      </c>
      <c r="V24" s="9" t="s">
        <v>5</v>
      </c>
      <c r="W24" s="9" t="s">
        <v>9</v>
      </c>
      <c r="X24" s="9" t="s">
        <v>9</v>
      </c>
      <c r="Y24" s="9" t="s">
        <v>7</v>
      </c>
      <c r="Z24" s="9" t="s">
        <v>5</v>
      </c>
      <c r="AA24" s="9" t="s">
        <v>7</v>
      </c>
      <c r="AB24" s="9" t="s">
        <v>5</v>
      </c>
      <c r="AC24" s="9" t="s">
        <v>7</v>
      </c>
      <c r="AD24" s="9" t="s">
        <v>5</v>
      </c>
      <c r="AE24" s="9" t="s">
        <v>5</v>
      </c>
      <c r="AF24" s="9" t="s">
        <v>7</v>
      </c>
      <c r="AG24" s="9" t="s">
        <v>7</v>
      </c>
      <c r="AH24" s="9" t="s">
        <v>7</v>
      </c>
      <c r="AI24" s="9" t="s">
        <v>9</v>
      </c>
      <c r="AJ24" s="9" t="s">
        <v>9</v>
      </c>
      <c r="AK24" s="9" t="s">
        <v>5</v>
      </c>
      <c r="AL24" s="9" t="s">
        <v>5</v>
      </c>
      <c r="AM24" s="9" t="s">
        <v>10</v>
      </c>
      <c r="AN24" s="9" t="s">
        <v>10</v>
      </c>
      <c r="AO24" s="9" t="s">
        <v>97</v>
      </c>
      <c r="AP24" s="9" t="s">
        <v>101</v>
      </c>
      <c r="AQ24" s="9" t="s">
        <v>101</v>
      </c>
      <c r="AR24" s="9" t="s">
        <v>101</v>
      </c>
      <c r="AS24" s="9" t="s">
        <v>101</v>
      </c>
      <c r="AT24" s="9" t="s">
        <v>97</v>
      </c>
      <c r="AU24" s="9" t="s">
        <v>101</v>
      </c>
      <c r="AV24" s="9" t="s">
        <v>97</v>
      </c>
      <c r="AW24" s="9" t="s">
        <v>197</v>
      </c>
      <c r="AX24" s="9" t="s">
        <v>198</v>
      </c>
      <c r="AY24" s="9" t="s">
        <v>135</v>
      </c>
      <c r="AZ24" s="9" t="s">
        <v>199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IFERROR(__xludf.DUMMYFUNCTION("{
  BYCOL('Form Responses 1'!1:1, LAMBDA(header, IF(header="""", , IFERROR(REGEXEXTRACT(header, ""\[(.*)\]""), header)))); 
  FILTER('Form Responses 1'!A2:ZZ1000, 'Form Responses 1'!A2:A1000 &lt;&gt; """")
}"),"Timestamp")</f>
        <v>Timestamp</v>
      </c>
      <c r="B1" s="2" t="str">
        <f>IFERROR(__xludf.DUMMYFUNCTION("""COMPUTED_VALUE"""),"First name")</f>
        <v>First name</v>
      </c>
      <c r="C1" s="2" t="str">
        <f>IFERROR(__xludf.DUMMYFUNCTION("""COMPUTED_VALUE"""),"Last name")</f>
        <v>Last name</v>
      </c>
      <c r="D1" s="2" t="str">
        <f>IFERROR(__xludf.DUMMYFUNCTION("""COMPUTED_VALUE"""),"Pitt email address")</f>
        <v>Pitt email address</v>
      </c>
      <c r="E1" s="2" t="str">
        <f>IFERROR(__xludf.DUMMYFUNCTION("""COMPUTED_VALUE"""),"CS 0007")</f>
        <v>CS 0007</v>
      </c>
      <c r="F1" s="2" t="str">
        <f>IFERROR(__xludf.DUMMYFUNCTION("""COMPUTED_VALUE"""),"CS 0011/0012")</f>
        <v>CS 0011/0012</v>
      </c>
      <c r="G1" s="2" t="str">
        <f>IFERROR(__xludf.DUMMYFUNCTION("""COMPUTED_VALUE"""),"CMPINF 0401")</f>
        <v>CMPINF 0401</v>
      </c>
      <c r="H1" s="2" t="str">
        <f>IFERROR(__xludf.DUMMYFUNCTION("""COMPUTED_VALUE"""),"CS 0441")</f>
        <v>CS 0441</v>
      </c>
      <c r="I1" s="2" t="str">
        <f>IFERROR(__xludf.DUMMYFUNCTION("""COMPUTED_VALUE"""),"CS 0445")</f>
        <v>CS 0445</v>
      </c>
      <c r="J1" s="2" t="str">
        <f>IFERROR(__xludf.DUMMYFUNCTION("""COMPUTED_VALUE"""),"CS 0447")</f>
        <v>CS 0447</v>
      </c>
      <c r="K1" s="2" t="str">
        <f>IFERROR(__xludf.DUMMYFUNCTION("""COMPUTED_VALUE"""),"CS 0449")</f>
        <v>CS 0449</v>
      </c>
      <c r="L1" s="2" t="str">
        <f>IFERROR(__xludf.DUMMYFUNCTION("""COMPUTED_VALUE"""),"CS 0590")</f>
        <v>CS 0590</v>
      </c>
      <c r="M1" s="2" t="str">
        <f>IFERROR(__xludf.DUMMYFUNCTION("""COMPUTED_VALUE"""),"CS 1501")</f>
        <v>CS 1501</v>
      </c>
      <c r="N1" s="2" t="str">
        <f>IFERROR(__xludf.DUMMYFUNCTION("""COMPUTED_VALUE"""),"CS 1502")</f>
        <v>CS 1502</v>
      </c>
      <c r="O1" s="2" t="str">
        <f>IFERROR(__xludf.DUMMYFUNCTION("""COMPUTED_VALUE"""),"CS 1503")</f>
        <v>CS 1503</v>
      </c>
      <c r="P1" s="2" t="str">
        <f>IFERROR(__xludf.DUMMYFUNCTION("""COMPUTED_VALUE"""),"CS 1510/2012")</f>
        <v>CS 1510/2012</v>
      </c>
      <c r="Q1" s="2" t="str">
        <f>IFERROR(__xludf.DUMMYFUNCTION("""COMPUTED_VALUE"""),"CS 1520")</f>
        <v>CS 1520</v>
      </c>
      <c r="R1" s="2" t="str">
        <f>IFERROR(__xludf.DUMMYFUNCTION("""COMPUTED_VALUE"""),"CS 1530")</f>
        <v>CS 1530</v>
      </c>
      <c r="S1" s="2" t="str">
        <f>IFERROR(__xludf.DUMMYFUNCTION("""COMPUTED_VALUE"""),"CS 1550")</f>
        <v>CS 1550</v>
      </c>
      <c r="T1" s="2" t="str">
        <f>IFERROR(__xludf.DUMMYFUNCTION("""COMPUTED_VALUE"""),"CS 1555/2055")</f>
        <v>CS 1555/2055</v>
      </c>
      <c r="U1" s="2" t="str">
        <f>IFERROR(__xludf.DUMMYFUNCTION("""COMPUTED_VALUE"""),"CS 1566")</f>
        <v>CS 1566</v>
      </c>
      <c r="V1" s="2" t="str">
        <f>IFERROR(__xludf.DUMMYFUNCTION("""COMPUTED_VALUE"""),"CS 1571")</f>
        <v>CS 1571</v>
      </c>
      <c r="W1" s="2" t="str">
        <f>IFERROR(__xludf.DUMMYFUNCTION("""COMPUTED_VALUE"""),"CS 1632")</f>
        <v>CS 1632</v>
      </c>
      <c r="X1" s="2" t="str">
        <f>IFERROR(__xludf.DUMMYFUNCTION("""COMPUTED_VALUE"""),"CS 1635/2035")</f>
        <v>CS 1635/2035</v>
      </c>
      <c r="Y1" s="2" t="str">
        <f>IFERROR(__xludf.DUMMYFUNCTION("""COMPUTED_VALUE"""),"CS 1980/1640")</f>
        <v>CS 1980/1640</v>
      </c>
      <c r="Z1" s="2" t="str">
        <f>IFERROR(__xludf.DUMMYFUNCTION("""COMPUTED_VALUE"""),"CS 1656")</f>
        <v>CS 1656</v>
      </c>
      <c r="AA1" s="2" t="str">
        <f>IFERROR(__xludf.DUMMYFUNCTION("""COMPUTED_VALUE"""),"CS 1660/2060")</f>
        <v>CS 1660/2060</v>
      </c>
      <c r="AB1" s="2" t="str">
        <f>IFERROR(__xludf.DUMMYFUNCTION("""COMPUTED_VALUE"""),"CS 1666")</f>
        <v>CS 1666</v>
      </c>
      <c r="AC1" s="2" t="str">
        <f>IFERROR(__xludf.DUMMYFUNCTION("""COMPUTED_VALUE"""),"CS 1671/2071")</f>
        <v>CS 1671/2071</v>
      </c>
      <c r="AD1" s="2" t="str">
        <f>IFERROR(__xludf.DUMMYFUNCTION("""COMPUTED_VALUE"""),"CS 1674/2074")</f>
        <v>CS 1674/2074</v>
      </c>
      <c r="AE1" s="2" t="str">
        <f>IFERROR(__xludf.DUMMYFUNCTION("""COMPUTED_VALUE"""),"CS 1675/2075")</f>
        <v>CS 1675/2075</v>
      </c>
      <c r="AF1" s="2" t="str">
        <f>IFERROR(__xludf.DUMMYFUNCTION("""COMPUTED_VALUE"""),"CS 1684/2084")</f>
        <v>CS 1684/2084</v>
      </c>
      <c r="AG1" s="2" t="str">
        <f>IFERROR(__xludf.DUMMYFUNCTION("""COMPUTED_VALUE"""),"CS 1699")</f>
        <v>CS 1699</v>
      </c>
      <c r="AH1" s="2" t="str">
        <f>IFERROR(__xludf.DUMMYFUNCTION("""COMPUTED_VALUE"""),"CS 1900/1950")</f>
        <v>CS 1900/1950</v>
      </c>
      <c r="AI1" s="2" t="str">
        <f>IFERROR(__xludf.DUMMYFUNCTION("""COMPUTED_VALUE"""),"CS 2210")</f>
        <v>CS 2210</v>
      </c>
      <c r="AJ1" s="2" t="str">
        <f>IFERROR(__xludf.DUMMYFUNCTION("""COMPUTED_VALUE"""),"CS 2520")</f>
        <v>CS 2520</v>
      </c>
      <c r="AK1" s="2" t="str">
        <f>IFERROR(__xludf.DUMMYFUNCTION("""COMPUTED_VALUE"""),"CS 2710")</f>
        <v>CS 2710</v>
      </c>
      <c r="AL1" s="2" t="str">
        <f>IFERROR(__xludf.DUMMYFUNCTION("""COMPUTED_VALUE"""),"CS 2731")</f>
        <v>CS 2731</v>
      </c>
      <c r="AM1" s="2" t="str">
        <f>IFERROR(__xludf.DUMMYFUNCTION("""COMPUTED_VALUE"""),"CS 2750")</f>
        <v>CS 2750</v>
      </c>
      <c r="AN1" s="2" t="str">
        <f>IFERROR(__xludf.DUMMYFUNCTION("""COMPUTED_VALUE"""),"CS 2893")</f>
        <v>CS 2893</v>
      </c>
      <c r="AO1" s="2" t="str">
        <f>IFERROR(__xludf.DUMMYFUNCTION("""COMPUTED_VALUE"""),"Introductory programming (could be Python or Java)")</f>
        <v>Introductory programming (could be Python or Java)</v>
      </c>
      <c r="AP1" s="2" t="str">
        <f>IFERROR(__xludf.DUMMYFUNCTION("""COMPUTED_VALUE"""),"Core programming in Java")</f>
        <v>Core programming in Java</v>
      </c>
      <c r="AQ1" s="2" t="str">
        <f>IFERROR(__xludf.DUMMYFUNCTION("""COMPUTED_VALUE"""),"Computer systems/architecture")</f>
        <v>Computer systems/architecture</v>
      </c>
      <c r="AR1" s="2" t="str">
        <f>IFERROR(__xludf.DUMMYFUNCTION("""COMPUTED_VALUE"""),"Theory and mathematical foundations")</f>
        <v>Theory and mathematical foundations</v>
      </c>
      <c r="AS1" s="2" t="str">
        <f>IFERROR(__xludf.DUMMYFUNCTION("""COMPUTED_VALUE"""),"Programming practice and software engineering")</f>
        <v>Programming practice and software engineering</v>
      </c>
      <c r="AT1" s="2" t="str">
        <f>IFERROR(__xludf.DUMMYFUNCTION("""COMPUTED_VALUE"""),"Artificial intelligence and machine learning")</f>
        <v>Artificial intelligence and machine learning</v>
      </c>
      <c r="AU1" s="2" t="str">
        <f>IFERROR(__xludf.DUMMYFUNCTION("""COMPUTED_VALUE"""),"Security and networks")</f>
        <v>Security and networks</v>
      </c>
      <c r="AV1" s="2" t="str">
        <f>IFERROR(__xludf.DUMMYFUNCTION("""COMPUTED_VALUE"""),"Data management and organization")</f>
        <v>Data management and organization</v>
      </c>
      <c r="AW1" s="2" t="str">
        <f>IFERROR(__xludf.DUMMYFUNCTION("""COMPUTED_VALUE"""),"Scheduling constraints")</f>
        <v>Scheduling constraints</v>
      </c>
      <c r="AX1" s="2" t="str">
        <f>IFERROR(__xludf.DUMMYFUNCTION("""COMPUTED_VALUE"""),"Courses constraints")</f>
        <v>Courses constraints</v>
      </c>
      <c r="AY1" s="2" t="str">
        <f>IFERROR(__xludf.DUMMYFUNCTION("""COMPUTED_VALUE"""),"Goals")</f>
        <v>Goals</v>
      </c>
      <c r="AZ1" s="2" t="str">
        <f>IFERROR(__xludf.DUMMYFUNCTION("""COMPUTED_VALUE"""),"Anything else we should know?
For example: courses that you wish to avoid (explain!), etc.")</f>
        <v>Anything else we should know?
For example: courses that you wish to avoid (explain!), etc.</v>
      </c>
      <c r="BA1" s="2"/>
      <c r="BB1" s="2"/>
      <c r="BC1" s="2"/>
      <c r="BD1" s="2"/>
      <c r="BE1" s="2"/>
      <c r="BF1" s="2"/>
    </row>
    <row r="2">
      <c r="A2" s="3">
        <f>IFERROR(__xludf.DUMMYFUNCTION("""COMPUTED_VALUE"""),46246.53317660879)</f>
        <v>46246.53318</v>
      </c>
      <c r="B2" s="2" t="str">
        <f>IFERROR(__xludf.DUMMYFUNCTION("""COMPUTED_VALUE"""),"A")</f>
        <v>A</v>
      </c>
      <c r="C2" s="2" t="str">
        <f>IFERROR(__xludf.DUMMYFUNCTION("""COMPUTED_VALUE"""),"Y")</f>
        <v>Y</v>
      </c>
      <c r="D2" s="2" t="str">
        <f>IFERROR(__xludf.DUMMYFUNCTION("""COMPUTED_VALUE"""),"a@pitt.edu")</f>
        <v>a@pitt.edu</v>
      </c>
      <c r="E2" s="2" t="str">
        <f>IFERROR(__xludf.DUMMYFUNCTION("""COMPUTED_VALUE"""),"Third Choice Group")</f>
        <v>Third Choice Group</v>
      </c>
      <c r="F2" s="2" t="str">
        <f>IFERROR(__xludf.DUMMYFUNCTION("""COMPUTED_VALUE"""),"Third Choice Group")</f>
        <v>Third Choice Group</v>
      </c>
      <c r="G2" s="2" t="str">
        <f>IFERROR(__xludf.DUMMYFUNCTION("""COMPUTED_VALUE"""),"Third Choice Group")</f>
        <v>Third Choice Group</v>
      </c>
      <c r="H2" s="2" t="str">
        <f>IFERROR(__xludf.DUMMYFUNCTION("""COMPUTED_VALUE"""),"Third Choice Group")</f>
        <v>Third Choice Group</v>
      </c>
      <c r="I2" s="2" t="str">
        <f>IFERROR(__xludf.DUMMYFUNCTION("""COMPUTED_VALUE"""),"Third Choice Group")</f>
        <v>Third Choice Group</v>
      </c>
      <c r="J2" s="2" t="str">
        <f>IFERROR(__xludf.DUMMYFUNCTION("""COMPUTED_VALUE"""),"Third Choice Group")</f>
        <v>Third Choice Group</v>
      </c>
      <c r="K2" s="2" t="str">
        <f>IFERROR(__xludf.DUMMYFUNCTION("""COMPUTED_VALUE"""),"Third Choice Group")</f>
        <v>Third Choice Group</v>
      </c>
      <c r="L2" s="2" t="str">
        <f>IFERROR(__xludf.DUMMYFUNCTION("""COMPUTED_VALUE"""),"Third Choice Group")</f>
        <v>Third Choice Group</v>
      </c>
      <c r="M2" s="2" t="str">
        <f>IFERROR(__xludf.DUMMYFUNCTION("""COMPUTED_VALUE"""),"Third Choice Group")</f>
        <v>Third Choice Group</v>
      </c>
      <c r="N2" s="2" t="str">
        <f>IFERROR(__xludf.DUMMYFUNCTION("""COMPUTED_VALUE"""),"Third Choice Group")</f>
        <v>Third Choice Group</v>
      </c>
      <c r="O2" s="2" t="str">
        <f>IFERROR(__xludf.DUMMYFUNCTION("""COMPUTED_VALUE"""),"Third Choice Group")</f>
        <v>Third Choice Group</v>
      </c>
      <c r="P2" s="2" t="str">
        <f>IFERROR(__xludf.DUMMYFUNCTION("""COMPUTED_VALUE"""),"Third Choice Group")</f>
        <v>Third Choice Group</v>
      </c>
      <c r="Q2" s="2" t="str">
        <f>IFERROR(__xludf.DUMMYFUNCTION("""COMPUTED_VALUE"""),"Third Choice Group")</f>
        <v>Third Choice Group</v>
      </c>
      <c r="R2" s="2" t="str">
        <f>IFERROR(__xludf.DUMMYFUNCTION("""COMPUTED_VALUE"""),"Third Choice Group")</f>
        <v>Third Choice Group</v>
      </c>
      <c r="S2" s="2" t="str">
        <f>IFERROR(__xludf.DUMMYFUNCTION("""COMPUTED_VALUE"""),"Third Choice Group")</f>
        <v>Third Choice Group</v>
      </c>
      <c r="T2" s="2" t="str">
        <f>IFERROR(__xludf.DUMMYFUNCTION("""COMPUTED_VALUE"""),"Third Choice Group")</f>
        <v>Third Choice Group</v>
      </c>
      <c r="U2" s="2" t="str">
        <f>IFERROR(__xludf.DUMMYFUNCTION("""COMPUTED_VALUE"""),"Third Choice Group")</f>
        <v>Third Choice Group</v>
      </c>
      <c r="V2" s="2" t="str">
        <f>IFERROR(__xludf.DUMMYFUNCTION("""COMPUTED_VALUE"""),"Third Choice Group")</f>
        <v>Third Choice Group</v>
      </c>
      <c r="W2" s="2" t="str">
        <f>IFERROR(__xludf.DUMMYFUNCTION("""COMPUTED_VALUE"""),"Third Choice Group")</f>
        <v>Third Choice Group</v>
      </c>
      <c r="X2" s="2" t="str">
        <f>IFERROR(__xludf.DUMMYFUNCTION("""COMPUTED_VALUE"""),"First Choice Group")</f>
        <v>First Choice Group</v>
      </c>
      <c r="Y2" s="2" t="str">
        <f>IFERROR(__xludf.DUMMYFUNCTION("""COMPUTED_VALUE"""),"Third Choice Group")</f>
        <v>Third Choice Group</v>
      </c>
      <c r="Z2" s="2" t="str">
        <f>IFERROR(__xludf.DUMMYFUNCTION("""COMPUTED_VALUE"""),"First Choice Group")</f>
        <v>First Choice Group</v>
      </c>
      <c r="AA2" s="2" t="str">
        <f>IFERROR(__xludf.DUMMYFUNCTION("""COMPUTED_VALUE"""),"Third Choice Group")</f>
        <v>Third Choice Group</v>
      </c>
      <c r="AB2" s="2" t="str">
        <f>IFERROR(__xludf.DUMMYFUNCTION("""COMPUTED_VALUE"""),"Third Choice Group")</f>
        <v>Third Choice Group</v>
      </c>
      <c r="AC2" s="2" t="str">
        <f>IFERROR(__xludf.DUMMYFUNCTION("""COMPUTED_VALUE"""),"First Choice Group")</f>
        <v>First Choice Group</v>
      </c>
      <c r="AD2" s="2" t="str">
        <f>IFERROR(__xludf.DUMMYFUNCTION("""COMPUTED_VALUE"""),"First Choice Group")</f>
        <v>First Choice Group</v>
      </c>
      <c r="AE2" s="2" t="str">
        <f>IFERROR(__xludf.DUMMYFUNCTION("""COMPUTED_VALUE"""),"First Choice Group")</f>
        <v>First Choice Group</v>
      </c>
      <c r="AF2" s="2" t="str">
        <f>IFERROR(__xludf.DUMMYFUNCTION("""COMPUTED_VALUE"""),"First Choice Group")</f>
        <v>First Choice Group</v>
      </c>
      <c r="AG2" s="2" t="str">
        <f>IFERROR(__xludf.DUMMYFUNCTION("""COMPUTED_VALUE"""),"Second Choice")</f>
        <v>Second Choice</v>
      </c>
      <c r="AH2" s="2" t="str">
        <f>IFERROR(__xludf.DUMMYFUNCTION("""COMPUTED_VALUE"""),"Third Choice Group")</f>
        <v>Third Choice Group</v>
      </c>
      <c r="AI2" s="2" t="str">
        <f>IFERROR(__xludf.DUMMYFUNCTION("""COMPUTED_VALUE"""),"Third Choice Group")</f>
        <v>Third Choice Group</v>
      </c>
      <c r="AJ2" s="2" t="str">
        <f>IFERROR(__xludf.DUMMYFUNCTION("""COMPUTED_VALUE"""),"Third Choice Group")</f>
        <v>Third Choice Group</v>
      </c>
      <c r="AK2" s="2" t="str">
        <f>IFERROR(__xludf.DUMMYFUNCTION("""COMPUTED_VALUE"""),"First Choice Group")</f>
        <v>First Choice Group</v>
      </c>
      <c r="AL2" s="2" t="str">
        <f>IFERROR(__xludf.DUMMYFUNCTION("""COMPUTED_VALUE"""),"First Choice Group")</f>
        <v>First Choice Group</v>
      </c>
      <c r="AM2" s="2" t="str">
        <f>IFERROR(__xludf.DUMMYFUNCTION("""COMPUTED_VALUE"""),"First Choice Group")</f>
        <v>First Choice Group</v>
      </c>
      <c r="AN2" s="2" t="str">
        <f>IFERROR(__xludf.DUMMYFUNCTION("""COMPUTED_VALUE"""),"Third Choice Group")</f>
        <v>Third Choice Group</v>
      </c>
      <c r="AO2" s="2" t="str">
        <f>IFERROR(__xludf.DUMMYFUNCTION("""COMPUTED_VALUE"""),"Excellent")</f>
        <v>Excellent</v>
      </c>
      <c r="AP2" s="2" t="str">
        <f>IFERROR(__xludf.DUMMYFUNCTION("""COMPUTED_VALUE"""),"Excellent")</f>
        <v>Excellent</v>
      </c>
      <c r="AQ2" s="2" t="str">
        <f>IFERROR(__xludf.DUMMYFUNCTION("""COMPUTED_VALUE"""),"Unsatisfactory")</f>
        <v>Unsatisfactory</v>
      </c>
      <c r="AR2" s="2" t="str">
        <f>IFERROR(__xludf.DUMMYFUNCTION("""COMPUTED_VALUE"""),"Unsatisfactory")</f>
        <v>Unsatisfactory</v>
      </c>
      <c r="AS2" s="2" t="str">
        <f>IFERROR(__xludf.DUMMYFUNCTION("""COMPUTED_VALUE"""),"Strong")</f>
        <v>Strong</v>
      </c>
      <c r="AT2" s="2" t="str">
        <f>IFERROR(__xludf.DUMMYFUNCTION("""COMPUTED_VALUE"""),"Excellent")</f>
        <v>Excellent</v>
      </c>
      <c r="AU2" s="2" t="str">
        <f>IFERROR(__xludf.DUMMYFUNCTION("""COMPUTED_VALUE"""),"Satisfactory")</f>
        <v>Satisfactory</v>
      </c>
      <c r="AV2" s="2" t="str">
        <f>IFERROR(__xludf.DUMMYFUNCTION("""COMPUTED_VALUE"""),"Strong")</f>
        <v>Strong</v>
      </c>
      <c r="AW2" s="2" t="str">
        <f>IFERROR(__xludf.DUMMYFUNCTION("""COMPUTED_VALUE"""),"Friday 12-4PM")</f>
        <v>Friday 12-4PM</v>
      </c>
      <c r="AX2" s="2" t="str">
        <f>IFERROR(__xludf.DUMMYFUNCTION("""COMPUTED_VALUE"""),"N/A")</f>
        <v>N/A</v>
      </c>
      <c r="AY2" s="2" t="str">
        <f>IFERROR(__xludf.DUMMYFUNCTION("""COMPUTED_VALUE"""),"Funding, Teaching experience")</f>
        <v>Funding, Teaching experience</v>
      </c>
      <c r="AZ2" s="2" t="str">
        <f>IFERROR(__xludf.DUMMYFUNCTION("""COMPUTED_VALUE"""),"CS1503 or 1555 since I find it hard to work with Dr Marina Barsky - great person, but hard to work with because it’s very hard to convince her on any changes on course structure ")</f>
        <v>CS1503 or 1555 since I find it hard to work with Dr Marina Barsky - great person, but hard to work with because it’s very hard to convince her on any changes on course structure </v>
      </c>
      <c r="BA2" s="2"/>
      <c r="BB2" s="2"/>
      <c r="BC2" s="2"/>
      <c r="BD2" s="2"/>
      <c r="BE2" s="2"/>
      <c r="BF2" s="2"/>
    </row>
    <row r="3">
      <c r="A3" s="3">
        <f>IFERROR(__xludf.DUMMYFUNCTION("""COMPUTED_VALUE"""),46246.55689633102)</f>
        <v>46246.5569</v>
      </c>
      <c r="B3" s="2" t="str">
        <f>IFERROR(__xludf.DUMMYFUNCTION("""COMPUTED_VALUE"""),"B")</f>
        <v>B</v>
      </c>
      <c r="C3" s="2" t="str">
        <f>IFERROR(__xludf.DUMMYFUNCTION("""COMPUTED_VALUE"""),"Z")</f>
        <v>Z</v>
      </c>
      <c r="D3" s="2" t="str">
        <f>IFERROR(__xludf.DUMMYFUNCTION("""COMPUTED_VALUE"""),"b@pitt.edu")</f>
        <v>b@pitt.edu</v>
      </c>
      <c r="E3" s="2" t="str">
        <f>IFERROR(__xludf.DUMMYFUNCTION("""COMPUTED_VALUE"""),"First Choice Group")</f>
        <v>First Choice Group</v>
      </c>
      <c r="F3" s="2" t="str">
        <f>IFERROR(__xludf.DUMMYFUNCTION("""COMPUTED_VALUE"""),"First Choice Group")</f>
        <v>First Choice Group</v>
      </c>
      <c r="G3" s="2" t="str">
        <f>IFERROR(__xludf.DUMMYFUNCTION("""COMPUTED_VALUE"""),"First Choice Group")</f>
        <v>First Choice Group</v>
      </c>
      <c r="H3" s="2" t="str">
        <f>IFERROR(__xludf.DUMMYFUNCTION("""COMPUTED_VALUE"""),"First Choice Group")</f>
        <v>First Choice Group</v>
      </c>
      <c r="I3" s="2" t="str">
        <f>IFERROR(__xludf.DUMMYFUNCTION("""COMPUTED_VALUE"""),"First Choice Group")</f>
        <v>First Choice Group</v>
      </c>
      <c r="J3" s="2" t="str">
        <f>IFERROR(__xludf.DUMMYFUNCTION("""COMPUTED_VALUE"""),"Third Choice Group")</f>
        <v>Third Choice Group</v>
      </c>
      <c r="K3" s="2" t="str">
        <f>IFERROR(__xludf.DUMMYFUNCTION("""COMPUTED_VALUE"""),"First Choice Group")</f>
        <v>First Choice Group</v>
      </c>
      <c r="L3" s="2" t="str">
        <f>IFERROR(__xludf.DUMMYFUNCTION("""COMPUTED_VALUE"""),"Third Choice Group")</f>
        <v>Third Choice Group</v>
      </c>
      <c r="M3" s="2" t="str">
        <f>IFERROR(__xludf.DUMMYFUNCTION("""COMPUTED_VALUE"""),"First Choice Group")</f>
        <v>First Choice Group</v>
      </c>
      <c r="N3" s="2" t="str">
        <f>IFERROR(__xludf.DUMMYFUNCTION("""COMPUTED_VALUE"""),"Third Choice Group")</f>
        <v>Third Choice Group</v>
      </c>
      <c r="O3" s="2" t="str">
        <f>IFERROR(__xludf.DUMMYFUNCTION("""COMPUTED_VALUE"""),"Third Choice Group")</f>
        <v>Third Choice Group</v>
      </c>
      <c r="P3" s="2" t="str">
        <f>IFERROR(__xludf.DUMMYFUNCTION("""COMPUTED_VALUE"""),"First Choice Group")</f>
        <v>First Choice Group</v>
      </c>
      <c r="Q3" s="2" t="str">
        <f>IFERROR(__xludf.DUMMYFUNCTION("""COMPUTED_VALUE"""),"First Choice Group")</f>
        <v>First Choice Group</v>
      </c>
      <c r="R3" s="2" t="str">
        <f>IFERROR(__xludf.DUMMYFUNCTION("""COMPUTED_VALUE"""),"Third Choice Group")</f>
        <v>Third Choice Group</v>
      </c>
      <c r="S3" s="2" t="str">
        <f>IFERROR(__xludf.DUMMYFUNCTION("""COMPUTED_VALUE"""),"First Choice Group")</f>
        <v>First Choice Group</v>
      </c>
      <c r="T3" s="2" t="str">
        <f>IFERROR(__xludf.DUMMYFUNCTION("""COMPUTED_VALUE"""),"First Choice Group")</f>
        <v>First Choice Group</v>
      </c>
      <c r="U3" s="2" t="str">
        <f>IFERROR(__xludf.DUMMYFUNCTION("""COMPUTED_VALUE"""),"Third Choice Group")</f>
        <v>Third Choice Group</v>
      </c>
      <c r="V3" s="2" t="str">
        <f>IFERROR(__xludf.DUMMYFUNCTION("""COMPUTED_VALUE"""),"Third Choice Group")</f>
        <v>Third Choice Group</v>
      </c>
      <c r="W3" s="2" t="str">
        <f>IFERROR(__xludf.DUMMYFUNCTION("""COMPUTED_VALUE"""),"Third Choice Group")</f>
        <v>Third Choice Group</v>
      </c>
      <c r="X3" s="2" t="str">
        <f>IFERROR(__xludf.DUMMYFUNCTION("""COMPUTED_VALUE"""),"Third Choice Group")</f>
        <v>Third Choice Group</v>
      </c>
      <c r="Y3" s="2" t="str">
        <f>IFERROR(__xludf.DUMMYFUNCTION("""COMPUTED_VALUE"""),"Third Choice Group")</f>
        <v>Third Choice Group</v>
      </c>
      <c r="Z3" s="2" t="str">
        <f>IFERROR(__xludf.DUMMYFUNCTION("""COMPUTED_VALUE"""),"First Choice Group")</f>
        <v>First Choice Group</v>
      </c>
      <c r="AA3" s="2" t="str">
        <f>IFERROR(__xludf.DUMMYFUNCTION("""COMPUTED_VALUE"""),"Second Choice")</f>
        <v>Second Choice</v>
      </c>
      <c r="AB3" s="2" t="str">
        <f>IFERROR(__xludf.DUMMYFUNCTION("""COMPUTED_VALUE"""),"Second Choice")</f>
        <v>Second Choice</v>
      </c>
      <c r="AC3" s="2" t="str">
        <f>IFERROR(__xludf.DUMMYFUNCTION("""COMPUTED_VALUE"""),"Second Choice")</f>
        <v>Second Choice</v>
      </c>
      <c r="AD3" s="2" t="str">
        <f>IFERROR(__xludf.DUMMYFUNCTION("""COMPUTED_VALUE"""),"Second Choice")</f>
        <v>Second Choice</v>
      </c>
      <c r="AE3" s="2" t="str">
        <f>IFERROR(__xludf.DUMMYFUNCTION("""COMPUTED_VALUE"""),"Second Choice")</f>
        <v>Second Choice</v>
      </c>
      <c r="AF3" s="2" t="str">
        <f>IFERROR(__xludf.DUMMYFUNCTION("""COMPUTED_VALUE"""),"Second Choice")</f>
        <v>Second Choice</v>
      </c>
      <c r="AG3" s="2" t="str">
        <f>IFERROR(__xludf.DUMMYFUNCTION("""COMPUTED_VALUE"""),"Second Choice")</f>
        <v>Second Choice</v>
      </c>
      <c r="AH3" s="2" t="str">
        <f>IFERROR(__xludf.DUMMYFUNCTION("""COMPUTED_VALUE"""),"Second Choice")</f>
        <v>Second Choice</v>
      </c>
      <c r="AI3" s="2" t="str">
        <f>IFERROR(__xludf.DUMMYFUNCTION("""COMPUTED_VALUE"""),"Third Choice Group")</f>
        <v>Third Choice Group</v>
      </c>
      <c r="AJ3" s="2" t="str">
        <f>IFERROR(__xludf.DUMMYFUNCTION("""COMPUTED_VALUE"""),"Second Choice")</f>
        <v>Second Choice</v>
      </c>
      <c r="AK3" s="2" t="str">
        <f>IFERROR(__xludf.DUMMYFUNCTION("""COMPUTED_VALUE"""),"Second Choice")</f>
        <v>Second Choice</v>
      </c>
      <c r="AL3" s="2" t="str">
        <f>IFERROR(__xludf.DUMMYFUNCTION("""COMPUTED_VALUE"""),"Second Choice")</f>
        <v>Second Choice</v>
      </c>
      <c r="AM3" s="2" t="str">
        <f>IFERROR(__xludf.DUMMYFUNCTION("""COMPUTED_VALUE"""),"Second Choice")</f>
        <v>Second Choice</v>
      </c>
      <c r="AN3" s="2" t="str">
        <f>IFERROR(__xludf.DUMMYFUNCTION("""COMPUTED_VALUE"""),"Third Choice Group")</f>
        <v>Third Choice Group</v>
      </c>
      <c r="AO3" s="2" t="str">
        <f>IFERROR(__xludf.DUMMYFUNCTION("""COMPUTED_VALUE"""),"Strong")</f>
        <v>Strong</v>
      </c>
      <c r="AP3" s="2" t="str">
        <f>IFERROR(__xludf.DUMMYFUNCTION("""COMPUTED_VALUE"""),"Strong")</f>
        <v>Strong</v>
      </c>
      <c r="AQ3" s="2" t="str">
        <f>IFERROR(__xludf.DUMMYFUNCTION("""COMPUTED_VALUE"""),"Satisfactory")</f>
        <v>Satisfactory</v>
      </c>
      <c r="AR3" s="2" t="str">
        <f>IFERROR(__xludf.DUMMYFUNCTION("""COMPUTED_VALUE"""),"Unsatisfactory")</f>
        <v>Unsatisfactory</v>
      </c>
      <c r="AS3" s="2" t="str">
        <f>IFERROR(__xludf.DUMMYFUNCTION("""COMPUTED_VALUE"""),"Strong")</f>
        <v>Strong</v>
      </c>
      <c r="AT3" s="2" t="str">
        <f>IFERROR(__xludf.DUMMYFUNCTION("""COMPUTED_VALUE"""),"Strong")</f>
        <v>Strong</v>
      </c>
      <c r="AU3" s="2" t="str">
        <f>IFERROR(__xludf.DUMMYFUNCTION("""COMPUTED_VALUE"""),"Strong")</f>
        <v>Strong</v>
      </c>
      <c r="AV3" s="2" t="str">
        <f>IFERROR(__xludf.DUMMYFUNCTION("""COMPUTED_VALUE"""),"Strong")</f>
        <v>Strong</v>
      </c>
      <c r="AW3" s="2" t="str">
        <f>IFERROR(__xludf.DUMMYFUNCTION("""COMPUTED_VALUE"""),"Monday: 11:00 AM–12:15 PM; 6:00–8:30 PM
Tuesday: 1:00–1:30 PM; 4:00–5:15 PM
Wednesday: 11:00 AM–12:15 PM
Thursday: 4:00–5:15 PM
Friday: 1:00–1:30 PM")</f>
        <v>Monday: 11:00 AM–12:15 PM; 6:00–8:30 PM
Tuesday: 1:00–1:30 PM; 4:00–5:15 PM
Wednesday: 11:00 AM–12:15 PM
Thursday: 4:00–5:15 PM
Friday: 1:00–1:30 PM</v>
      </c>
      <c r="AX3" s="2" t="str">
        <f>IFERROR(__xludf.DUMMYFUNCTION("""COMPUTED_VALUE"""),"CS 2710: Foundations of Artificial Intelligence
CS 2750: Machine Learning
CS 2893: Modern Quantum Computing
CS 2990: Independent Study")</f>
        <v>CS 2710: Foundations of Artificial Intelligence
CS 2750: Machine Learning
CS 2893: Modern Quantum Computing
CS 2990: Independent Study</v>
      </c>
      <c r="AY3" s="2" t="str">
        <f>IFERROR(__xludf.DUMMYFUNCTION("""COMPUTED_VALUE"""),"Funding, Learn a new topic")</f>
        <v>Funding, Learn a new topic</v>
      </c>
      <c r="AZ3" s="2" t="str">
        <f>IFERROR(__xludf.DUMMYFUNCTION("""COMPUTED_VALUE"""),"Avoid theory topic; Not interested in teaching ; Thank you very much! ;)")</f>
        <v>Avoid theory topic; Not interested in teaching ; Thank you very much! ;)</v>
      </c>
      <c r="BA3" s="2"/>
      <c r="BB3" s="2"/>
      <c r="BC3" s="2"/>
      <c r="BD3" s="2"/>
      <c r="BE3" s="2"/>
      <c r="BF3" s="2"/>
    </row>
    <row r="4">
      <c r="A4" s="3">
        <f>IFERROR(__xludf.DUMMYFUNCTION("""COMPUTED_VALUE"""),46246.55808)</f>
        <v>46246.55808</v>
      </c>
      <c r="B4" s="2" t="str">
        <f>IFERROR(__xludf.DUMMYFUNCTION("""COMPUTED_VALUE"""),"C")</f>
        <v>C</v>
      </c>
      <c r="C4" s="2" t="str">
        <f>IFERROR(__xludf.DUMMYFUNCTION("""COMPUTED_VALUE"""),"A")</f>
        <v>A</v>
      </c>
      <c r="D4" s="2" t="str">
        <f>IFERROR(__xludf.DUMMYFUNCTION("""COMPUTED_VALUE"""),"c@pitt.edu")</f>
        <v>c@pitt.edu</v>
      </c>
      <c r="E4" s="2" t="str">
        <f>IFERROR(__xludf.DUMMYFUNCTION("""COMPUTED_VALUE"""),"Third Choice Group")</f>
        <v>Third Choice Group</v>
      </c>
      <c r="F4" s="2" t="str">
        <f>IFERROR(__xludf.DUMMYFUNCTION("""COMPUTED_VALUE"""),"Third Choice Group")</f>
        <v>Third Choice Group</v>
      </c>
      <c r="G4" s="2" t="str">
        <f>IFERROR(__xludf.DUMMYFUNCTION("""COMPUTED_VALUE"""),"Third Choice Group")</f>
        <v>Third Choice Group</v>
      </c>
      <c r="H4" s="2" t="str">
        <f>IFERROR(__xludf.DUMMYFUNCTION("""COMPUTED_VALUE"""),"Third Choice Group")</f>
        <v>Third Choice Group</v>
      </c>
      <c r="I4" s="2" t="str">
        <f>IFERROR(__xludf.DUMMYFUNCTION("""COMPUTED_VALUE"""),"Second Choice")</f>
        <v>Second Choice</v>
      </c>
      <c r="J4" s="2" t="str">
        <f>IFERROR(__xludf.DUMMYFUNCTION("""COMPUTED_VALUE"""),"Third Choice Group")</f>
        <v>Third Choice Group</v>
      </c>
      <c r="K4" s="2" t="str">
        <f>IFERROR(__xludf.DUMMYFUNCTION("""COMPUTED_VALUE"""),"Third Choice Group")</f>
        <v>Third Choice Group</v>
      </c>
      <c r="L4" s="2" t="str">
        <f>IFERROR(__xludf.DUMMYFUNCTION("""COMPUTED_VALUE"""),"Third Choice Group")</f>
        <v>Third Choice Group</v>
      </c>
      <c r="M4" s="2" t="str">
        <f>IFERROR(__xludf.DUMMYFUNCTION("""COMPUTED_VALUE"""),"Third Choice Group")</f>
        <v>Third Choice Group</v>
      </c>
      <c r="N4" s="2" t="str">
        <f>IFERROR(__xludf.DUMMYFUNCTION("""COMPUTED_VALUE"""),"Third Choice Group")</f>
        <v>Third Choice Group</v>
      </c>
      <c r="O4" s="2" t="str">
        <f>IFERROR(__xludf.DUMMYFUNCTION("""COMPUTED_VALUE"""),"Third Choice Group")</f>
        <v>Third Choice Group</v>
      </c>
      <c r="P4" s="2" t="str">
        <f>IFERROR(__xludf.DUMMYFUNCTION("""COMPUTED_VALUE"""),"Third Choice Group")</f>
        <v>Third Choice Group</v>
      </c>
      <c r="Q4" s="2" t="str">
        <f>IFERROR(__xludf.DUMMYFUNCTION("""COMPUTED_VALUE"""),"Second Choice")</f>
        <v>Second Choice</v>
      </c>
      <c r="R4" s="2" t="str">
        <f>IFERROR(__xludf.DUMMYFUNCTION("""COMPUTED_VALUE"""),"Third Choice Group")</f>
        <v>Third Choice Group</v>
      </c>
      <c r="S4" s="2" t="str">
        <f>IFERROR(__xludf.DUMMYFUNCTION("""COMPUTED_VALUE"""),"Second Choice")</f>
        <v>Second Choice</v>
      </c>
      <c r="T4" s="2" t="str">
        <f>IFERROR(__xludf.DUMMYFUNCTION("""COMPUTED_VALUE"""),"Third Choice Group")</f>
        <v>Third Choice Group</v>
      </c>
      <c r="U4" s="2" t="str">
        <f>IFERROR(__xludf.DUMMYFUNCTION("""COMPUTED_VALUE"""),"Third Choice Group")</f>
        <v>Third Choice Group</v>
      </c>
      <c r="V4" s="2" t="str">
        <f>IFERROR(__xludf.DUMMYFUNCTION("""COMPUTED_VALUE"""),"Third Choice Group")</f>
        <v>Third Choice Group</v>
      </c>
      <c r="W4" s="2" t="str">
        <f>IFERROR(__xludf.DUMMYFUNCTION("""COMPUTED_VALUE"""),"Third Choice Group")</f>
        <v>Third Choice Group</v>
      </c>
      <c r="X4" s="2" t="str">
        <f>IFERROR(__xludf.DUMMYFUNCTION("""COMPUTED_VALUE"""),"Third Choice Group")</f>
        <v>Third Choice Group</v>
      </c>
      <c r="Y4" s="2" t="str">
        <f>IFERROR(__xludf.DUMMYFUNCTION("""COMPUTED_VALUE"""),"Third Choice Group")</f>
        <v>Third Choice Group</v>
      </c>
      <c r="Z4" s="2" t="str">
        <f>IFERROR(__xludf.DUMMYFUNCTION("""COMPUTED_VALUE"""),"First Choice Group")</f>
        <v>First Choice Group</v>
      </c>
      <c r="AA4" s="2" t="str">
        <f>IFERROR(__xludf.DUMMYFUNCTION("""COMPUTED_VALUE"""),"Third Choice Group")</f>
        <v>Third Choice Group</v>
      </c>
      <c r="AB4" s="2" t="str">
        <f>IFERROR(__xludf.DUMMYFUNCTION("""COMPUTED_VALUE"""),"Third Choice Group")</f>
        <v>Third Choice Group</v>
      </c>
      <c r="AC4" s="2" t="str">
        <f>IFERROR(__xludf.DUMMYFUNCTION("""COMPUTED_VALUE"""),"Third Choice Group")</f>
        <v>Third Choice Group</v>
      </c>
      <c r="AD4" s="2" t="str">
        <f>IFERROR(__xludf.DUMMYFUNCTION("""COMPUTED_VALUE"""),"Third Choice Group")</f>
        <v>Third Choice Group</v>
      </c>
      <c r="AE4" s="2" t="str">
        <f>IFERROR(__xludf.DUMMYFUNCTION("""COMPUTED_VALUE"""),"Third Choice Group")</f>
        <v>Third Choice Group</v>
      </c>
      <c r="AF4" s="2" t="str">
        <f>IFERROR(__xludf.DUMMYFUNCTION("""COMPUTED_VALUE"""),"Third Choice Group")</f>
        <v>Third Choice Group</v>
      </c>
      <c r="AG4" s="2" t="str">
        <f>IFERROR(__xludf.DUMMYFUNCTION("""COMPUTED_VALUE"""),"Third Choice Group")</f>
        <v>Third Choice Group</v>
      </c>
      <c r="AH4" s="2" t="str">
        <f>IFERROR(__xludf.DUMMYFUNCTION("""COMPUTED_VALUE"""),"Third Choice Group")</f>
        <v>Third Choice Group</v>
      </c>
      <c r="AI4" s="2" t="str">
        <f>IFERROR(__xludf.DUMMYFUNCTION("""COMPUTED_VALUE"""),"Third Choice Group")</f>
        <v>Third Choice Group</v>
      </c>
      <c r="AJ4" s="2" t="str">
        <f>IFERROR(__xludf.DUMMYFUNCTION("""COMPUTED_VALUE"""),"Third Choice Group")</f>
        <v>Third Choice Group</v>
      </c>
      <c r="AK4" s="2" t="str">
        <f>IFERROR(__xludf.DUMMYFUNCTION("""COMPUTED_VALUE"""),"Third Choice Group")</f>
        <v>Third Choice Group</v>
      </c>
      <c r="AL4" s="2" t="str">
        <f>IFERROR(__xludf.DUMMYFUNCTION("""COMPUTED_VALUE"""),"Third Choice Group")</f>
        <v>Third Choice Group</v>
      </c>
      <c r="AM4" s="2" t="str">
        <f>IFERROR(__xludf.DUMMYFUNCTION("""COMPUTED_VALUE"""),"Third Choice Group")</f>
        <v>Third Choice Group</v>
      </c>
      <c r="AN4" s="2" t="str">
        <f>IFERROR(__xludf.DUMMYFUNCTION("""COMPUTED_VALUE"""),"Third Choice Group")</f>
        <v>Third Choice Group</v>
      </c>
      <c r="AO4" s="2" t="str">
        <f>IFERROR(__xludf.DUMMYFUNCTION("""COMPUTED_VALUE"""),"Excellent")</f>
        <v>Excellent</v>
      </c>
      <c r="AP4" s="2" t="str">
        <f>IFERROR(__xludf.DUMMYFUNCTION("""COMPUTED_VALUE"""),"Excellent")</f>
        <v>Excellent</v>
      </c>
      <c r="AQ4" s="2" t="str">
        <f>IFERROR(__xludf.DUMMYFUNCTION("""COMPUTED_VALUE"""),"Strong")</f>
        <v>Strong</v>
      </c>
      <c r="AR4" s="2" t="str">
        <f>IFERROR(__xludf.DUMMYFUNCTION("""COMPUTED_VALUE"""),"Unsatisfactory")</f>
        <v>Unsatisfactory</v>
      </c>
      <c r="AS4" s="2" t="str">
        <f>IFERROR(__xludf.DUMMYFUNCTION("""COMPUTED_VALUE"""),"Excellent")</f>
        <v>Excellent</v>
      </c>
      <c r="AT4" s="2" t="str">
        <f>IFERROR(__xludf.DUMMYFUNCTION("""COMPUTED_VALUE"""),"Strong")</f>
        <v>Strong</v>
      </c>
      <c r="AU4" s="2" t="str">
        <f>IFERROR(__xludf.DUMMYFUNCTION("""COMPUTED_VALUE"""),"Satisfactory")</f>
        <v>Satisfactory</v>
      </c>
      <c r="AV4" s="2" t="str">
        <f>IFERROR(__xludf.DUMMYFUNCTION("""COMPUTED_VALUE"""),"Excellent")</f>
        <v>Excellent</v>
      </c>
      <c r="AW4" s="2" t="str">
        <f>IFERROR(__xludf.DUMMYFUNCTION("""COMPUTED_VALUE"""),"No real constraints")</f>
        <v>No real constraints</v>
      </c>
      <c r="AX4" s="2" t="str">
        <f>IFERROR(__xludf.DUMMYFUNCTION("""COMPUTED_VALUE"""),"No conflicts")</f>
        <v>No conflicts</v>
      </c>
      <c r="AY4" s="2" t="str">
        <f>IFERROR(__xludf.DUMMYFUNCTION("""COMPUTED_VALUE"""),"Funding, Teaching experience")</f>
        <v>Funding, Teaching experience</v>
      </c>
      <c r="AZ4" s="2" t="str">
        <f>IFERROR(__xludf.DUMMYFUNCTION("""COMPUTED_VALUE"""),"If there are multiple sections of cs1656, I prefer to be assigned to the one of Dr. Labrinidis")</f>
        <v>If there are multiple sections of cs1656, I prefer to be assigned to the one of Dr. Labrinidis</v>
      </c>
      <c r="BA4" s="2"/>
      <c r="BB4" s="2"/>
      <c r="BC4" s="2"/>
      <c r="BD4" s="2"/>
      <c r="BE4" s="2"/>
      <c r="BF4" s="2"/>
    </row>
    <row r="5">
      <c r="A5" s="3">
        <f>IFERROR(__xludf.DUMMYFUNCTION("""COMPUTED_VALUE"""),46246.57346724537)</f>
        <v>46246.57347</v>
      </c>
      <c r="B5" s="2" t="str">
        <f>IFERROR(__xludf.DUMMYFUNCTION("""COMPUTED_VALUE"""),"D")</f>
        <v>D</v>
      </c>
      <c r="C5" s="2" t="str">
        <f>IFERROR(__xludf.DUMMYFUNCTION("""COMPUTED_VALUE"""),"B")</f>
        <v>B</v>
      </c>
      <c r="D5" s="2" t="str">
        <f>IFERROR(__xludf.DUMMYFUNCTION("""COMPUTED_VALUE"""),"d@pitt.edu")</f>
        <v>d@pitt.edu</v>
      </c>
      <c r="E5" s="2" t="str">
        <f>IFERROR(__xludf.DUMMYFUNCTION("""COMPUTED_VALUE"""),"First Choice Group")</f>
        <v>First Choice Group</v>
      </c>
      <c r="F5" s="2" t="str">
        <f>IFERROR(__xludf.DUMMYFUNCTION("""COMPUTED_VALUE"""),"First Choice Group")</f>
        <v>First Choice Group</v>
      </c>
      <c r="G5" s="2" t="str">
        <f>IFERROR(__xludf.DUMMYFUNCTION("""COMPUTED_VALUE"""),"First Choice Group")</f>
        <v>First Choice Group</v>
      </c>
      <c r="H5" s="2" t="str">
        <f>IFERROR(__xludf.DUMMYFUNCTION("""COMPUTED_VALUE"""),"First Choice Group")</f>
        <v>First Choice Group</v>
      </c>
      <c r="I5" s="2" t="str">
        <f>IFERROR(__xludf.DUMMYFUNCTION("""COMPUTED_VALUE"""),"Cannot TA Group (explain below)")</f>
        <v>Cannot TA Group (explain below)</v>
      </c>
      <c r="J5" s="2" t="str">
        <f>IFERROR(__xludf.DUMMYFUNCTION("""COMPUTED_VALUE"""),"Cannot TA Group (explain below)")</f>
        <v>Cannot TA Group (explain below)</v>
      </c>
      <c r="K5" s="2" t="str">
        <f>IFERROR(__xludf.DUMMYFUNCTION("""COMPUTED_VALUE"""),"Cannot TA Group (explain below)")</f>
        <v>Cannot TA Group (explain below)</v>
      </c>
      <c r="L5" s="2" t="str">
        <f>IFERROR(__xludf.DUMMYFUNCTION("""COMPUTED_VALUE"""),"First Choice Group")</f>
        <v>First Choice Group</v>
      </c>
      <c r="M5" s="2" t="str">
        <f>IFERROR(__xludf.DUMMYFUNCTION("""COMPUTED_VALUE"""),"Cannot TA Group (explain below)")</f>
        <v>Cannot TA Group (explain below)</v>
      </c>
      <c r="N5" s="2" t="str">
        <f>IFERROR(__xludf.DUMMYFUNCTION("""COMPUTED_VALUE"""),"Cannot TA Group (explain below)")</f>
        <v>Cannot TA Group (explain below)</v>
      </c>
      <c r="O5" s="2" t="str">
        <f>IFERROR(__xludf.DUMMYFUNCTION("""COMPUTED_VALUE"""),"First Choice Group")</f>
        <v>First Choice Group</v>
      </c>
      <c r="P5" s="2" t="str">
        <f>IFERROR(__xludf.DUMMYFUNCTION("""COMPUTED_VALUE"""),"Cannot TA Group (explain below)")</f>
        <v>Cannot TA Group (explain below)</v>
      </c>
      <c r="Q5" s="2" t="str">
        <f>IFERROR(__xludf.DUMMYFUNCTION("""COMPUTED_VALUE"""),"First Choice Group")</f>
        <v>First Choice Group</v>
      </c>
      <c r="R5" s="2" t="str">
        <f>IFERROR(__xludf.DUMMYFUNCTION("""COMPUTED_VALUE"""),"First Choice Group")</f>
        <v>First Choice Group</v>
      </c>
      <c r="S5" s="2" t="str">
        <f>IFERROR(__xludf.DUMMYFUNCTION("""COMPUTED_VALUE"""),"Cannot TA Group (explain below)")</f>
        <v>Cannot TA Group (explain below)</v>
      </c>
      <c r="T5" s="2" t="str">
        <f>IFERROR(__xludf.DUMMYFUNCTION("""COMPUTED_VALUE"""),"Cannot TA Group (explain below)")</f>
        <v>Cannot TA Group (explain below)</v>
      </c>
      <c r="U5" s="2" t="str">
        <f>IFERROR(__xludf.DUMMYFUNCTION("""COMPUTED_VALUE"""),"Cannot TA Group (explain below)")</f>
        <v>Cannot TA Group (explain below)</v>
      </c>
      <c r="V5" s="2" t="str">
        <f>IFERROR(__xludf.DUMMYFUNCTION("""COMPUTED_VALUE"""),"First Choice Group")</f>
        <v>First Choice Group</v>
      </c>
      <c r="W5" s="2" t="str">
        <f>IFERROR(__xludf.DUMMYFUNCTION("""COMPUTED_VALUE"""),"First Choice Group")</f>
        <v>First Choice Group</v>
      </c>
      <c r="X5" s="2" t="str">
        <f>IFERROR(__xludf.DUMMYFUNCTION("""COMPUTED_VALUE"""),"First Choice Group")</f>
        <v>First Choice Group</v>
      </c>
      <c r="Y5" s="2" t="str">
        <f>IFERROR(__xludf.DUMMYFUNCTION("""COMPUTED_VALUE"""),"First Choice Group")</f>
        <v>First Choice Group</v>
      </c>
      <c r="Z5" s="2" t="str">
        <f>IFERROR(__xludf.DUMMYFUNCTION("""COMPUTED_VALUE"""),"First Choice Group")</f>
        <v>First Choice Group</v>
      </c>
      <c r="AA5" s="2" t="str">
        <f>IFERROR(__xludf.DUMMYFUNCTION("""COMPUTED_VALUE"""),"First Choice Group")</f>
        <v>First Choice Group</v>
      </c>
      <c r="AB5" s="2" t="str">
        <f>IFERROR(__xludf.DUMMYFUNCTION("""COMPUTED_VALUE"""),"First Choice Group")</f>
        <v>First Choice Group</v>
      </c>
      <c r="AC5" s="2" t="str">
        <f>IFERROR(__xludf.DUMMYFUNCTION("""COMPUTED_VALUE"""),"First Choice Group")</f>
        <v>First Choice Group</v>
      </c>
      <c r="AD5" s="2" t="str">
        <f>IFERROR(__xludf.DUMMYFUNCTION("""COMPUTED_VALUE"""),"First Choice Group")</f>
        <v>First Choice Group</v>
      </c>
      <c r="AE5" s="2" t="str">
        <f>IFERROR(__xludf.DUMMYFUNCTION("""COMPUTED_VALUE"""),"First Choice Group")</f>
        <v>First Choice Group</v>
      </c>
      <c r="AF5" s="2" t="str">
        <f>IFERROR(__xludf.DUMMYFUNCTION("""COMPUTED_VALUE"""),"First Choice Group")</f>
        <v>First Choice Group</v>
      </c>
      <c r="AG5" s="2" t="str">
        <f>IFERROR(__xludf.DUMMYFUNCTION("""COMPUTED_VALUE"""),"First Choice Group")</f>
        <v>First Choice Group</v>
      </c>
      <c r="AH5" s="2" t="str">
        <f>IFERROR(__xludf.DUMMYFUNCTION("""COMPUTED_VALUE"""),"First Choice Group")</f>
        <v>First Choice Group</v>
      </c>
      <c r="AI5" s="2" t="str">
        <f>IFERROR(__xludf.DUMMYFUNCTION("""COMPUTED_VALUE"""),"Cannot TA Group (explain below)")</f>
        <v>Cannot TA Group (explain below)</v>
      </c>
      <c r="AJ5" s="2" t="str">
        <f>IFERROR(__xludf.DUMMYFUNCTION("""COMPUTED_VALUE"""),"Cannot TA Group (explain below)")</f>
        <v>Cannot TA Group (explain below)</v>
      </c>
      <c r="AK5" s="2" t="str">
        <f>IFERROR(__xludf.DUMMYFUNCTION("""COMPUTED_VALUE"""),"First Choice Group")</f>
        <v>First Choice Group</v>
      </c>
      <c r="AL5" s="2" t="str">
        <f>IFERROR(__xludf.DUMMYFUNCTION("""COMPUTED_VALUE"""),"First Choice Group")</f>
        <v>First Choice Group</v>
      </c>
      <c r="AM5" s="2" t="str">
        <f>IFERROR(__xludf.DUMMYFUNCTION("""COMPUTED_VALUE"""),"First Choice Group")</f>
        <v>First Choice Group</v>
      </c>
      <c r="AN5" s="2" t="str">
        <f>IFERROR(__xludf.DUMMYFUNCTION("""COMPUTED_VALUE"""),"Cannot TA Group (explain below)")</f>
        <v>Cannot TA Group (explain below)</v>
      </c>
      <c r="AO5" s="2" t="str">
        <f>IFERROR(__xludf.DUMMYFUNCTION("""COMPUTED_VALUE"""),"Excellent")</f>
        <v>Excellent</v>
      </c>
      <c r="AP5" s="2" t="str">
        <f>IFERROR(__xludf.DUMMYFUNCTION("""COMPUTED_VALUE"""),"Excellent")</f>
        <v>Excellent</v>
      </c>
      <c r="AQ5" s="2" t="str">
        <f>IFERROR(__xludf.DUMMYFUNCTION("""COMPUTED_VALUE"""),"Unsatisfactory")</f>
        <v>Unsatisfactory</v>
      </c>
      <c r="AR5" s="2" t="str">
        <f>IFERROR(__xludf.DUMMYFUNCTION("""COMPUTED_VALUE"""),"Unsatisfactory")</f>
        <v>Unsatisfactory</v>
      </c>
      <c r="AS5" s="2" t="str">
        <f>IFERROR(__xludf.DUMMYFUNCTION("""COMPUTED_VALUE"""),"Unsatisfactory")</f>
        <v>Unsatisfactory</v>
      </c>
      <c r="AT5" s="2" t="str">
        <f>IFERROR(__xludf.DUMMYFUNCTION("""COMPUTED_VALUE"""),"Excellent")</f>
        <v>Excellent</v>
      </c>
      <c r="AU5" s="2" t="str">
        <f>IFERROR(__xludf.DUMMYFUNCTION("""COMPUTED_VALUE"""),"Unsatisfactory")</f>
        <v>Unsatisfactory</v>
      </c>
      <c r="AV5" s="2" t="str">
        <f>IFERROR(__xludf.DUMMYFUNCTION("""COMPUTED_VALUE"""),"Unsatisfactory")</f>
        <v>Unsatisfactory</v>
      </c>
      <c r="AW5" s="2" t="str">
        <f>IFERROR(__xludf.DUMMYFUNCTION("""COMPUTED_VALUE"""),"Not available Monday Tuesday Wednesday (all day); only available Thursday afternoon and Friday (all day)")</f>
        <v>Not available Monday Tuesday Wednesday (all day); only available Thursday afternoon and Friday (all day)</v>
      </c>
      <c r="AX5" s="2" t="str">
        <f>IFERROR(__xludf.DUMMYFUNCTION("""COMPUTED_VALUE"""),"Cannot do algorithms, systems or architecture courses; only can do introductory programing courses ")</f>
        <v>Cannot do algorithms, systems or architecture courses; only can do introductory programing courses </v>
      </c>
      <c r="AY5" s="2" t="str">
        <f>IFERROR(__xludf.DUMMYFUNCTION("""COMPUTED_VALUE"""),"Funding, Teaching experience, Improve public speaking or other skills")</f>
        <v>Funding, Teaching experience, Improve public speaking or other skills</v>
      </c>
      <c r="AZ5" s="2" t="str">
        <f>IFERROR(__xludf.DUMMYFUNCTION("""COMPUTED_VALUE"""),"definitely want to avoid - assembly language, architecture, formal methods, algorithms, systems courses; prefer intro programming, data science, hci or ai courses!")</f>
        <v>definitely want to avoid - assembly language, architecture, formal methods, algorithms, systems courses; prefer intro programming, data science, hci or ai courses!</v>
      </c>
      <c r="BA5" s="2"/>
      <c r="BB5" s="2"/>
      <c r="BC5" s="2"/>
      <c r="BD5" s="2"/>
      <c r="BE5" s="2"/>
      <c r="BF5" s="2"/>
    </row>
    <row r="6">
      <c r="A6" s="3">
        <f>IFERROR(__xludf.DUMMYFUNCTION("""COMPUTED_VALUE"""),46246.57361850694)</f>
        <v>46246.57362</v>
      </c>
      <c r="B6" s="2" t="str">
        <f>IFERROR(__xludf.DUMMYFUNCTION("""COMPUTED_VALUE"""),"E")</f>
        <v>E</v>
      </c>
      <c r="C6" s="2" t="str">
        <f>IFERROR(__xludf.DUMMYFUNCTION("""COMPUTED_VALUE"""),"C")</f>
        <v>C</v>
      </c>
      <c r="D6" s="2" t="str">
        <f>IFERROR(__xludf.DUMMYFUNCTION("""COMPUTED_VALUE"""),"e@pitt.edu")</f>
        <v>e@pitt.edu</v>
      </c>
      <c r="E6" s="2" t="str">
        <f>IFERROR(__xludf.DUMMYFUNCTION("""COMPUTED_VALUE"""),"Third Choice Group")</f>
        <v>Third Choice Group</v>
      </c>
      <c r="F6" s="2" t="str">
        <f>IFERROR(__xludf.DUMMYFUNCTION("""COMPUTED_VALUE"""),"Third Choice Group")</f>
        <v>Third Choice Group</v>
      </c>
      <c r="G6" s="2" t="str">
        <f>IFERROR(__xludf.DUMMYFUNCTION("""COMPUTED_VALUE"""),"Third Choice Group")</f>
        <v>Third Choice Group</v>
      </c>
      <c r="H6" s="2" t="str">
        <f>IFERROR(__xludf.DUMMYFUNCTION("""COMPUTED_VALUE"""),"Third Choice Group")</f>
        <v>Third Choice Group</v>
      </c>
      <c r="I6" s="2" t="str">
        <f>IFERROR(__xludf.DUMMYFUNCTION("""COMPUTED_VALUE"""),"Third Choice Group")</f>
        <v>Third Choice Group</v>
      </c>
      <c r="J6" s="2" t="str">
        <f>IFERROR(__xludf.DUMMYFUNCTION("""COMPUTED_VALUE"""),"Third Choice Group")</f>
        <v>Third Choice Group</v>
      </c>
      <c r="K6" s="2" t="str">
        <f>IFERROR(__xludf.DUMMYFUNCTION("""COMPUTED_VALUE"""),"Third Choice Group")</f>
        <v>Third Choice Group</v>
      </c>
      <c r="L6" s="2" t="str">
        <f>IFERROR(__xludf.DUMMYFUNCTION("""COMPUTED_VALUE"""),"Third Choice Group")</f>
        <v>Third Choice Group</v>
      </c>
      <c r="M6" s="2" t="str">
        <f>IFERROR(__xludf.DUMMYFUNCTION("""COMPUTED_VALUE"""),"Third Choice Group")</f>
        <v>Third Choice Group</v>
      </c>
      <c r="N6" s="2" t="str">
        <f>IFERROR(__xludf.DUMMYFUNCTION("""COMPUTED_VALUE"""),"Third Choice Group")</f>
        <v>Third Choice Group</v>
      </c>
      <c r="O6" s="2" t="str">
        <f>IFERROR(__xludf.DUMMYFUNCTION("""COMPUTED_VALUE"""),"Third Choice Group")</f>
        <v>Third Choice Group</v>
      </c>
      <c r="P6" s="2" t="str">
        <f>IFERROR(__xludf.DUMMYFUNCTION("""COMPUTED_VALUE"""),"Third Choice Group")</f>
        <v>Third Choice Group</v>
      </c>
      <c r="Q6" s="2" t="str">
        <f>IFERROR(__xludf.DUMMYFUNCTION("""COMPUTED_VALUE"""),"Third Choice Group")</f>
        <v>Third Choice Group</v>
      </c>
      <c r="R6" s="2" t="str">
        <f>IFERROR(__xludf.DUMMYFUNCTION("""COMPUTED_VALUE"""),"Third Choice Group")</f>
        <v>Third Choice Group</v>
      </c>
      <c r="S6" s="2" t="str">
        <f>IFERROR(__xludf.DUMMYFUNCTION("""COMPUTED_VALUE"""),"Third Choice Group")</f>
        <v>Third Choice Group</v>
      </c>
      <c r="T6" s="2" t="str">
        <f>IFERROR(__xludf.DUMMYFUNCTION("""COMPUTED_VALUE"""),"Third Choice Group")</f>
        <v>Third Choice Group</v>
      </c>
      <c r="U6" s="2" t="str">
        <f>IFERROR(__xludf.DUMMYFUNCTION("""COMPUTED_VALUE"""),"Third Choice Group")</f>
        <v>Third Choice Group</v>
      </c>
      <c r="V6" s="2" t="str">
        <f>IFERROR(__xludf.DUMMYFUNCTION("""COMPUTED_VALUE"""),"Second Choice")</f>
        <v>Second Choice</v>
      </c>
      <c r="W6" s="2" t="str">
        <f>IFERROR(__xludf.DUMMYFUNCTION("""COMPUTED_VALUE"""),"Third Choice Group")</f>
        <v>Third Choice Group</v>
      </c>
      <c r="X6" s="2" t="str">
        <f>IFERROR(__xludf.DUMMYFUNCTION("""COMPUTED_VALUE"""),"Third Choice Group")</f>
        <v>Third Choice Group</v>
      </c>
      <c r="Y6" s="2" t="str">
        <f>IFERROR(__xludf.DUMMYFUNCTION("""COMPUTED_VALUE"""),"Third Choice Group")</f>
        <v>Third Choice Group</v>
      </c>
      <c r="Z6" s="2" t="str">
        <f>IFERROR(__xludf.DUMMYFUNCTION("""COMPUTED_VALUE"""),"Second Choice")</f>
        <v>Second Choice</v>
      </c>
      <c r="AA6" s="2" t="str">
        <f>IFERROR(__xludf.DUMMYFUNCTION("""COMPUTED_VALUE"""),"Third Choice Group")</f>
        <v>Third Choice Group</v>
      </c>
      <c r="AB6" s="2" t="str">
        <f>IFERROR(__xludf.DUMMYFUNCTION("""COMPUTED_VALUE"""),"Third Choice Group")</f>
        <v>Third Choice Group</v>
      </c>
      <c r="AC6" s="2" t="str">
        <f>IFERROR(__xludf.DUMMYFUNCTION("""COMPUTED_VALUE"""),"Second Choice")</f>
        <v>Second Choice</v>
      </c>
      <c r="AD6" s="2" t="str">
        <f>IFERROR(__xludf.DUMMYFUNCTION("""COMPUTED_VALUE"""),"Second Choice")</f>
        <v>Second Choice</v>
      </c>
      <c r="AE6" s="2" t="str">
        <f>IFERROR(__xludf.DUMMYFUNCTION("""COMPUTED_VALUE"""),"Second Choice")</f>
        <v>Second Choice</v>
      </c>
      <c r="AF6" s="2" t="str">
        <f>IFERROR(__xludf.DUMMYFUNCTION("""COMPUTED_VALUE"""),"Third Choice Group")</f>
        <v>Third Choice Group</v>
      </c>
      <c r="AG6" s="2" t="str">
        <f>IFERROR(__xludf.DUMMYFUNCTION("""COMPUTED_VALUE"""),"Third Choice Group")</f>
        <v>Third Choice Group</v>
      </c>
      <c r="AH6" s="2" t="str">
        <f>IFERROR(__xludf.DUMMYFUNCTION("""COMPUTED_VALUE"""),"Third Choice Group")</f>
        <v>Third Choice Group</v>
      </c>
      <c r="AI6" s="2" t="str">
        <f>IFERROR(__xludf.DUMMYFUNCTION("""COMPUTED_VALUE"""),"Third Choice Group")</f>
        <v>Third Choice Group</v>
      </c>
      <c r="AJ6" s="2" t="str">
        <f>IFERROR(__xludf.DUMMYFUNCTION("""COMPUTED_VALUE"""),"Cannot TA Group (explain below)")</f>
        <v>Cannot TA Group (explain below)</v>
      </c>
      <c r="AK6" s="2" t="str">
        <f>IFERROR(__xludf.DUMMYFUNCTION("""COMPUTED_VALUE"""),"First Choice Group")</f>
        <v>First Choice Group</v>
      </c>
      <c r="AL6" s="2" t="str">
        <f>IFERROR(__xludf.DUMMYFUNCTION("""COMPUTED_VALUE"""),"Second Choice")</f>
        <v>Second Choice</v>
      </c>
      <c r="AM6" s="2" t="str">
        <f>IFERROR(__xludf.DUMMYFUNCTION("""COMPUTED_VALUE"""),"First Choice Group")</f>
        <v>First Choice Group</v>
      </c>
      <c r="AN6" s="2" t="str">
        <f>IFERROR(__xludf.DUMMYFUNCTION("""COMPUTED_VALUE"""),"Cannot TA Group (explain below)")</f>
        <v>Cannot TA Group (explain below)</v>
      </c>
      <c r="AO6" s="2" t="str">
        <f>IFERROR(__xludf.DUMMYFUNCTION("""COMPUTED_VALUE"""),"Satisfactory")</f>
        <v>Satisfactory</v>
      </c>
      <c r="AP6" s="2" t="str">
        <f>IFERROR(__xludf.DUMMYFUNCTION("""COMPUTED_VALUE"""),"Satisfactory")</f>
        <v>Satisfactory</v>
      </c>
      <c r="AQ6" s="2" t="str">
        <f>IFERROR(__xludf.DUMMYFUNCTION("""COMPUTED_VALUE"""),"Satisfactory")</f>
        <v>Satisfactory</v>
      </c>
      <c r="AR6" s="2" t="str">
        <f>IFERROR(__xludf.DUMMYFUNCTION("""COMPUTED_VALUE"""),"Satisfactory")</f>
        <v>Satisfactory</v>
      </c>
      <c r="AS6" s="2" t="str">
        <f>IFERROR(__xludf.DUMMYFUNCTION("""COMPUTED_VALUE"""),"Strong")</f>
        <v>Strong</v>
      </c>
      <c r="AT6" s="2" t="str">
        <f>IFERROR(__xludf.DUMMYFUNCTION("""COMPUTED_VALUE"""),"Excellent")</f>
        <v>Excellent</v>
      </c>
      <c r="AU6" s="2" t="str">
        <f>IFERROR(__xludf.DUMMYFUNCTION("""COMPUTED_VALUE"""),"Unsatisfactory")</f>
        <v>Unsatisfactory</v>
      </c>
      <c r="AV6" s="2" t="str">
        <f>IFERROR(__xludf.DUMMYFUNCTION("""COMPUTED_VALUE"""),"Satisfactory")</f>
        <v>Satisfactory</v>
      </c>
      <c r="AW6" s="2" t="str">
        <f>IFERROR(__xludf.DUMMYFUNCTION("""COMPUTED_VALUE"""),"Potential conferences that I may have to make time for: NeurIPS (Dec 6-13). This can be limited to a few days depending if/when we have to present.")</f>
        <v>Potential conferences that I may have to make time for: NeurIPS (Dec 6-13). This can be limited to a few days depending if/when we have to present.</v>
      </c>
      <c r="AX6" s="2" t="str">
        <f>IFERROR(__xludf.DUMMYFUNCTION("""COMPUTED_VALUE"""),"NA")</f>
        <v>NA</v>
      </c>
      <c r="AY6" s="2" t="str">
        <f>IFERROR(__xludf.DUMMYFUNCTION("""COMPUTED_VALUE"""),"Funding")</f>
        <v>Funding</v>
      </c>
      <c r="AZ6" s="2" t="str">
        <f>IFERROR(__xludf.DUMMYFUNCTION("""COMPUTED_VALUE"""),"Only because of my limited understanding about these topics: MODERN QUANTUM COMPUTING, WIDE AREA NETWORKS.")</f>
        <v>Only because of my limited understanding about these topics: MODERN QUANTUM COMPUTING, WIDE AREA NETWORKS.</v>
      </c>
      <c r="BA6" s="2"/>
      <c r="BB6" s="2"/>
      <c r="BC6" s="2"/>
      <c r="BD6" s="2"/>
      <c r="BE6" s="2"/>
      <c r="BF6" s="2"/>
    </row>
    <row r="7">
      <c r="A7" s="3">
        <f>IFERROR(__xludf.DUMMYFUNCTION("""COMPUTED_VALUE"""),46246.57415534722)</f>
        <v>46246.57416</v>
      </c>
      <c r="B7" s="2" t="str">
        <f>IFERROR(__xludf.DUMMYFUNCTION("""COMPUTED_VALUE"""),"F")</f>
        <v>F</v>
      </c>
      <c r="C7" s="2" t="str">
        <f>IFERROR(__xludf.DUMMYFUNCTION("""COMPUTED_VALUE"""),"D")</f>
        <v>D</v>
      </c>
      <c r="D7" s="2" t="str">
        <f>IFERROR(__xludf.DUMMYFUNCTION("""COMPUTED_VALUE"""),"f@pitt.edu")</f>
        <v>f@pitt.edu</v>
      </c>
      <c r="E7" s="2" t="str">
        <f>IFERROR(__xludf.DUMMYFUNCTION("""COMPUTED_VALUE"""),"Third Choice Group")</f>
        <v>Third Choice Group</v>
      </c>
      <c r="F7" s="2" t="str">
        <f>IFERROR(__xludf.DUMMYFUNCTION("""COMPUTED_VALUE"""),"Third Choice Group")</f>
        <v>Third Choice Group</v>
      </c>
      <c r="G7" s="2" t="str">
        <f>IFERROR(__xludf.DUMMYFUNCTION("""COMPUTED_VALUE"""),"Third Choice Group")</f>
        <v>Third Choice Group</v>
      </c>
      <c r="H7" s="2" t="str">
        <f>IFERROR(__xludf.DUMMYFUNCTION("""COMPUTED_VALUE"""),"Third Choice Group")</f>
        <v>Third Choice Group</v>
      </c>
      <c r="I7" s="2" t="str">
        <f>IFERROR(__xludf.DUMMYFUNCTION("""COMPUTED_VALUE"""),"Third Choice Group")</f>
        <v>Third Choice Group</v>
      </c>
      <c r="J7" s="2" t="str">
        <f>IFERROR(__xludf.DUMMYFUNCTION("""COMPUTED_VALUE"""),"Third Choice Group")</f>
        <v>Third Choice Group</v>
      </c>
      <c r="K7" s="2" t="str">
        <f>IFERROR(__xludf.DUMMYFUNCTION("""COMPUTED_VALUE"""),"Third Choice Group")</f>
        <v>Third Choice Group</v>
      </c>
      <c r="L7" s="2" t="str">
        <f>IFERROR(__xludf.DUMMYFUNCTION("""COMPUTED_VALUE"""),"Third Choice Group")</f>
        <v>Third Choice Group</v>
      </c>
      <c r="M7" s="2" t="str">
        <f>IFERROR(__xludf.DUMMYFUNCTION("""COMPUTED_VALUE"""),"Third Choice Group")</f>
        <v>Third Choice Group</v>
      </c>
      <c r="N7" s="2" t="str">
        <f>IFERROR(__xludf.DUMMYFUNCTION("""COMPUTED_VALUE"""),"Third Choice Group")</f>
        <v>Third Choice Group</v>
      </c>
      <c r="O7" s="2" t="str">
        <f>IFERROR(__xludf.DUMMYFUNCTION("""COMPUTED_VALUE"""),"Third Choice Group")</f>
        <v>Third Choice Group</v>
      </c>
      <c r="P7" s="2" t="str">
        <f>IFERROR(__xludf.DUMMYFUNCTION("""COMPUTED_VALUE"""),"Second Choice")</f>
        <v>Second Choice</v>
      </c>
      <c r="Q7" s="2" t="str">
        <f>IFERROR(__xludf.DUMMYFUNCTION("""COMPUTED_VALUE"""),"Third Choice Group")</f>
        <v>Third Choice Group</v>
      </c>
      <c r="R7" s="2" t="str">
        <f>IFERROR(__xludf.DUMMYFUNCTION("""COMPUTED_VALUE"""),"Third Choice Group")</f>
        <v>Third Choice Group</v>
      </c>
      <c r="S7" s="2" t="str">
        <f>IFERROR(__xludf.DUMMYFUNCTION("""COMPUTED_VALUE"""),"Third Choice Group")</f>
        <v>Third Choice Group</v>
      </c>
      <c r="T7" s="2" t="str">
        <f>IFERROR(__xludf.DUMMYFUNCTION("""COMPUTED_VALUE"""),"Third Choice Group")</f>
        <v>Third Choice Group</v>
      </c>
      <c r="U7" s="2" t="str">
        <f>IFERROR(__xludf.DUMMYFUNCTION("""COMPUTED_VALUE"""),"Third Choice Group")</f>
        <v>Third Choice Group</v>
      </c>
      <c r="V7" s="2" t="str">
        <f>IFERROR(__xludf.DUMMYFUNCTION("""COMPUTED_VALUE"""),"Second Choice")</f>
        <v>Second Choice</v>
      </c>
      <c r="W7" s="2" t="str">
        <f>IFERROR(__xludf.DUMMYFUNCTION("""COMPUTED_VALUE"""),"Third Choice Group")</f>
        <v>Third Choice Group</v>
      </c>
      <c r="X7" s="2" t="str">
        <f>IFERROR(__xludf.DUMMYFUNCTION("""COMPUTED_VALUE"""),"Third Choice Group")</f>
        <v>Third Choice Group</v>
      </c>
      <c r="Y7" s="2" t="str">
        <f>IFERROR(__xludf.DUMMYFUNCTION("""COMPUTED_VALUE"""),"Third Choice Group")</f>
        <v>Third Choice Group</v>
      </c>
      <c r="Z7" s="2" t="str">
        <f>IFERROR(__xludf.DUMMYFUNCTION("""COMPUTED_VALUE"""),"Second Choice")</f>
        <v>Second Choice</v>
      </c>
      <c r="AA7" s="2" t="str">
        <f>IFERROR(__xludf.DUMMYFUNCTION("""COMPUTED_VALUE"""),"Third Choice Group")</f>
        <v>Third Choice Group</v>
      </c>
      <c r="AB7" s="2" t="str">
        <f>IFERROR(__xludf.DUMMYFUNCTION("""COMPUTED_VALUE"""),"Third Choice Group")</f>
        <v>Third Choice Group</v>
      </c>
      <c r="AC7" s="2" t="str">
        <f>IFERROR(__xludf.DUMMYFUNCTION("""COMPUTED_VALUE"""),"Third Choice Group")</f>
        <v>Third Choice Group</v>
      </c>
      <c r="AD7" s="2" t="str">
        <f>IFERROR(__xludf.DUMMYFUNCTION("""COMPUTED_VALUE"""),"First Choice Group")</f>
        <v>First Choice Group</v>
      </c>
      <c r="AE7" s="2" t="str">
        <f>IFERROR(__xludf.DUMMYFUNCTION("""COMPUTED_VALUE"""),"Cannot TA Group (explain below)")</f>
        <v>Cannot TA Group (explain below)</v>
      </c>
      <c r="AF7" s="2" t="str">
        <f>IFERROR(__xludf.DUMMYFUNCTION("""COMPUTED_VALUE"""),"Third Choice Group")</f>
        <v>Third Choice Group</v>
      </c>
      <c r="AG7" s="2" t="str">
        <f>IFERROR(__xludf.DUMMYFUNCTION("""COMPUTED_VALUE"""),"Third Choice Group")</f>
        <v>Third Choice Group</v>
      </c>
      <c r="AH7" s="2" t="str">
        <f>IFERROR(__xludf.DUMMYFUNCTION("""COMPUTED_VALUE"""),"Third Choice Group")</f>
        <v>Third Choice Group</v>
      </c>
      <c r="AI7" s="2" t="str">
        <f>IFERROR(__xludf.DUMMYFUNCTION("""COMPUTED_VALUE"""),"Third Choice Group")</f>
        <v>Third Choice Group</v>
      </c>
      <c r="AJ7" s="2" t="str">
        <f>IFERROR(__xludf.DUMMYFUNCTION("""COMPUTED_VALUE"""),"Third Choice Group")</f>
        <v>Third Choice Group</v>
      </c>
      <c r="AK7" s="2" t="str">
        <f>IFERROR(__xludf.DUMMYFUNCTION("""COMPUTED_VALUE"""),"Third Choice Group")</f>
        <v>Third Choice Group</v>
      </c>
      <c r="AL7" s="2" t="str">
        <f>IFERROR(__xludf.DUMMYFUNCTION("""COMPUTED_VALUE"""),"Third Choice Group")</f>
        <v>Third Choice Group</v>
      </c>
      <c r="AM7" s="2" t="str">
        <f>IFERROR(__xludf.DUMMYFUNCTION("""COMPUTED_VALUE"""),"First Choice Group")</f>
        <v>First Choice Group</v>
      </c>
      <c r="AN7" s="2" t="str">
        <f>IFERROR(__xludf.DUMMYFUNCTION("""COMPUTED_VALUE"""),"Third Choice Group")</f>
        <v>Third Choice Group</v>
      </c>
      <c r="AO7" s="2" t="str">
        <f>IFERROR(__xludf.DUMMYFUNCTION("""COMPUTED_VALUE"""),"Satisfactory")</f>
        <v>Satisfactory</v>
      </c>
      <c r="AP7" s="2" t="str">
        <f>IFERROR(__xludf.DUMMYFUNCTION("""COMPUTED_VALUE"""),"Satisfactory")</f>
        <v>Satisfactory</v>
      </c>
      <c r="AQ7" s="2" t="str">
        <f>IFERROR(__xludf.DUMMYFUNCTION("""COMPUTED_VALUE"""),"Satisfactory")</f>
        <v>Satisfactory</v>
      </c>
      <c r="AR7" s="2" t="str">
        <f>IFERROR(__xludf.DUMMYFUNCTION("""COMPUTED_VALUE"""),"Satisfactory")</f>
        <v>Satisfactory</v>
      </c>
      <c r="AS7" s="2" t="str">
        <f>IFERROR(__xludf.DUMMYFUNCTION("""COMPUTED_VALUE"""),"Satisfactory")</f>
        <v>Satisfactory</v>
      </c>
      <c r="AT7" s="2" t="str">
        <f>IFERROR(__xludf.DUMMYFUNCTION("""COMPUTED_VALUE"""),"Strong")</f>
        <v>Strong</v>
      </c>
      <c r="AU7" s="2" t="str">
        <f>IFERROR(__xludf.DUMMYFUNCTION("""COMPUTED_VALUE"""),"Unsatisfactory")</f>
        <v>Unsatisfactory</v>
      </c>
      <c r="AV7" s="2" t="str">
        <f>IFERROR(__xludf.DUMMYFUNCTION("""COMPUTED_VALUE"""),"Satisfactory")</f>
        <v>Satisfactory</v>
      </c>
      <c r="AW7" s="2" t="str">
        <f>IFERROR(__xludf.DUMMYFUNCTION("""COMPUTED_VALUE"""),"Monday &amp; Wednesday: 11:00 AM–12:15 PM (CS 2075), 2:00 PM–3:20 PM, 4:30 PM–5:45 PM (BIOST 2041)
Thursday: 2:30 PM–3:45 PM (BIOST 2041 Recitation)
Friday: 11:00 AM–11:50 AM (CS 2075 Recitation)")</f>
        <v>Monday &amp; Wednesday: 11:00 AM–12:15 PM (CS 2075), 2:00 PM–3:20 PM, 4:30 PM–5:45 PM (BIOST 2041)
Thursday: 2:30 PM–3:45 PM (BIOST 2041 Recitation)
Friday: 11:00 AM–11:50 AM (CS 2075 Recitation)</v>
      </c>
      <c r="AX7" s="2" t="str">
        <f>IFERROR(__xludf.DUMMYFUNCTION("""COMPUTED_VALUE"""),"CS 2075")</f>
        <v>CS 2075</v>
      </c>
      <c r="AY7" s="2" t="str">
        <f>IFERROR(__xludf.DUMMYFUNCTION("""COMPUTED_VALUE"""),"Funding, Teaching experience, Improve public speaking or other skills, Learn a new topic")</f>
        <v>Funding, Teaching experience, Improve public speaking or other skills, Learn a new topic</v>
      </c>
      <c r="AZ7" s="2" t="str">
        <f>IFERROR(__xludf.DUMMYFUNCTION("""COMPUTED_VALUE"""),"no")</f>
        <v>no</v>
      </c>
      <c r="BA7" s="2"/>
      <c r="BB7" s="2"/>
      <c r="BC7" s="2"/>
      <c r="BD7" s="2"/>
      <c r="BE7" s="2"/>
      <c r="BF7" s="2"/>
    </row>
    <row r="8">
      <c r="A8" s="3">
        <f>IFERROR(__xludf.DUMMYFUNCTION("""COMPUTED_VALUE"""),46246.57953930556)</f>
        <v>46246.57954</v>
      </c>
      <c r="B8" s="2" t="str">
        <f>IFERROR(__xludf.DUMMYFUNCTION("""COMPUTED_VALUE"""),"G")</f>
        <v>G</v>
      </c>
      <c r="C8" s="2" t="str">
        <f>IFERROR(__xludf.DUMMYFUNCTION("""COMPUTED_VALUE"""),"E")</f>
        <v>E</v>
      </c>
      <c r="D8" s="2" t="str">
        <f>IFERROR(__xludf.DUMMYFUNCTION("""COMPUTED_VALUE"""),"g@pitt.edu")</f>
        <v>g@pitt.edu</v>
      </c>
      <c r="E8" s="2" t="str">
        <f>IFERROR(__xludf.DUMMYFUNCTION("""COMPUTED_VALUE"""),"Third Choice Group")</f>
        <v>Third Choice Group</v>
      </c>
      <c r="F8" s="2" t="str">
        <f>IFERROR(__xludf.DUMMYFUNCTION("""COMPUTED_VALUE"""),"Third Choice Group")</f>
        <v>Third Choice Group</v>
      </c>
      <c r="G8" s="2" t="str">
        <f>IFERROR(__xludf.DUMMYFUNCTION("""COMPUTED_VALUE"""),"Third Choice Group")</f>
        <v>Third Choice Group</v>
      </c>
      <c r="H8" s="2" t="str">
        <f>IFERROR(__xludf.DUMMYFUNCTION("""COMPUTED_VALUE"""),"Third Choice Group")</f>
        <v>Third Choice Group</v>
      </c>
      <c r="I8" s="2" t="str">
        <f>IFERROR(__xludf.DUMMYFUNCTION("""COMPUTED_VALUE"""),"Third Choice Group")</f>
        <v>Third Choice Group</v>
      </c>
      <c r="J8" s="2" t="str">
        <f>IFERROR(__xludf.DUMMYFUNCTION("""COMPUTED_VALUE"""),"Cannot TA Group (explain below)")</f>
        <v>Cannot TA Group (explain below)</v>
      </c>
      <c r="K8" s="2" t="str">
        <f>IFERROR(__xludf.DUMMYFUNCTION("""COMPUTED_VALUE"""),"Cannot TA Group (explain below)")</f>
        <v>Cannot TA Group (explain below)</v>
      </c>
      <c r="L8" s="2" t="str">
        <f>IFERROR(__xludf.DUMMYFUNCTION("""COMPUTED_VALUE"""),"Second Choice")</f>
        <v>Second Choice</v>
      </c>
      <c r="M8" s="2" t="str">
        <f>IFERROR(__xludf.DUMMYFUNCTION("""COMPUTED_VALUE"""),"Third Choice Group")</f>
        <v>Third Choice Group</v>
      </c>
      <c r="N8" s="2" t="str">
        <f>IFERROR(__xludf.DUMMYFUNCTION("""COMPUTED_VALUE"""),"Cannot TA Group (explain below)")</f>
        <v>Cannot TA Group (explain below)</v>
      </c>
      <c r="O8" s="2" t="str">
        <f>IFERROR(__xludf.DUMMYFUNCTION("""COMPUTED_VALUE"""),"Third Choice Group")</f>
        <v>Third Choice Group</v>
      </c>
      <c r="P8" s="2" t="str">
        <f>IFERROR(__xludf.DUMMYFUNCTION("""COMPUTED_VALUE"""),"Third Choice Group")</f>
        <v>Third Choice Group</v>
      </c>
      <c r="Q8" s="2" t="str">
        <f>IFERROR(__xludf.DUMMYFUNCTION("""COMPUTED_VALUE"""),"Cannot TA Group (explain below)")</f>
        <v>Cannot TA Group (explain below)</v>
      </c>
      <c r="R8" s="2" t="str">
        <f>IFERROR(__xludf.DUMMYFUNCTION("""COMPUTED_VALUE"""),"Third Choice Group")</f>
        <v>Third Choice Group</v>
      </c>
      <c r="S8" s="2" t="str">
        <f>IFERROR(__xludf.DUMMYFUNCTION("""COMPUTED_VALUE"""),"Cannot TA Group (explain below)")</f>
        <v>Cannot TA Group (explain below)</v>
      </c>
      <c r="T8" s="2" t="str">
        <f>IFERROR(__xludf.DUMMYFUNCTION("""COMPUTED_VALUE"""),"Third Choice Group")</f>
        <v>Third Choice Group</v>
      </c>
      <c r="U8" s="2" t="str">
        <f>IFERROR(__xludf.DUMMYFUNCTION("""COMPUTED_VALUE"""),"Cannot TA Group (explain below)")</f>
        <v>Cannot TA Group (explain below)</v>
      </c>
      <c r="V8" s="2" t="str">
        <f>IFERROR(__xludf.DUMMYFUNCTION("""COMPUTED_VALUE"""),"First Choice Group")</f>
        <v>First Choice Group</v>
      </c>
      <c r="W8" s="2" t="str">
        <f>IFERROR(__xludf.DUMMYFUNCTION("""COMPUTED_VALUE"""),"Third Choice Group")</f>
        <v>Third Choice Group</v>
      </c>
      <c r="X8" s="2" t="str">
        <f>IFERROR(__xludf.DUMMYFUNCTION("""COMPUTED_VALUE"""),"Cannot TA Group (explain below)")</f>
        <v>Cannot TA Group (explain below)</v>
      </c>
      <c r="Y8" s="2" t="str">
        <f>IFERROR(__xludf.DUMMYFUNCTION("""COMPUTED_VALUE"""),"Second Choice")</f>
        <v>Second Choice</v>
      </c>
      <c r="Z8" s="2" t="str">
        <f>IFERROR(__xludf.DUMMYFUNCTION("""COMPUTED_VALUE"""),"Third Choice Group")</f>
        <v>Third Choice Group</v>
      </c>
      <c r="AA8" s="2" t="str">
        <f>IFERROR(__xludf.DUMMYFUNCTION("""COMPUTED_VALUE"""),"Third Choice Group")</f>
        <v>Third Choice Group</v>
      </c>
      <c r="AB8" s="2" t="str">
        <f>IFERROR(__xludf.DUMMYFUNCTION("""COMPUTED_VALUE"""),"Cannot TA Group (explain below)")</f>
        <v>Cannot TA Group (explain below)</v>
      </c>
      <c r="AC8" s="2" t="str">
        <f>IFERROR(__xludf.DUMMYFUNCTION("""COMPUTED_VALUE"""),"First Choice Group")</f>
        <v>First Choice Group</v>
      </c>
      <c r="AD8" s="2" t="str">
        <f>IFERROR(__xludf.DUMMYFUNCTION("""COMPUTED_VALUE"""),"Third Choice Group")</f>
        <v>Third Choice Group</v>
      </c>
      <c r="AE8" s="2" t="str">
        <f>IFERROR(__xludf.DUMMYFUNCTION("""COMPUTED_VALUE"""),"Second Choice")</f>
        <v>Second Choice</v>
      </c>
      <c r="AF8" s="2" t="str">
        <f>IFERROR(__xludf.DUMMYFUNCTION("""COMPUTED_VALUE"""),"First Choice Group")</f>
        <v>First Choice Group</v>
      </c>
      <c r="AG8" s="2" t="str">
        <f>IFERROR(__xludf.DUMMYFUNCTION("""COMPUTED_VALUE"""),"Second Choice")</f>
        <v>Second Choice</v>
      </c>
      <c r="AH8" s="2" t="str">
        <f>IFERROR(__xludf.DUMMYFUNCTION("""COMPUTED_VALUE"""),"Second Choice")</f>
        <v>Second Choice</v>
      </c>
      <c r="AI8" s="2" t="str">
        <f>IFERROR(__xludf.DUMMYFUNCTION("""COMPUTED_VALUE"""),"Cannot TA Group (explain below)")</f>
        <v>Cannot TA Group (explain below)</v>
      </c>
      <c r="AJ8" s="2" t="str">
        <f>IFERROR(__xludf.DUMMYFUNCTION("""COMPUTED_VALUE"""),"Second Choice")</f>
        <v>Second Choice</v>
      </c>
      <c r="AK8" s="2" t="str">
        <f>IFERROR(__xludf.DUMMYFUNCTION("""COMPUTED_VALUE"""),"First Choice Group")</f>
        <v>First Choice Group</v>
      </c>
      <c r="AL8" s="2" t="str">
        <f>IFERROR(__xludf.DUMMYFUNCTION("""COMPUTED_VALUE"""),"First Choice Group")</f>
        <v>First Choice Group</v>
      </c>
      <c r="AM8" s="2" t="str">
        <f>IFERROR(__xludf.DUMMYFUNCTION("""COMPUTED_VALUE"""),"First Choice Group")</f>
        <v>First Choice Group</v>
      </c>
      <c r="AN8" s="2" t="str">
        <f>IFERROR(__xludf.DUMMYFUNCTION("""COMPUTED_VALUE"""),"Cannot TA Group (explain below)")</f>
        <v>Cannot TA Group (explain below)</v>
      </c>
      <c r="AO8" s="2" t="str">
        <f>IFERROR(__xludf.DUMMYFUNCTION("""COMPUTED_VALUE"""),"Strong")</f>
        <v>Strong</v>
      </c>
      <c r="AP8" s="2" t="str">
        <f>IFERROR(__xludf.DUMMYFUNCTION("""COMPUTED_VALUE"""),"Satisfactory")</f>
        <v>Satisfactory</v>
      </c>
      <c r="AQ8" s="2" t="str">
        <f>IFERROR(__xludf.DUMMYFUNCTION("""COMPUTED_VALUE"""),"Unsatisfactory")</f>
        <v>Unsatisfactory</v>
      </c>
      <c r="AR8" s="2" t="str">
        <f>IFERROR(__xludf.DUMMYFUNCTION("""COMPUTED_VALUE"""),"Unsatisfactory")</f>
        <v>Unsatisfactory</v>
      </c>
      <c r="AS8" s="2" t="str">
        <f>IFERROR(__xludf.DUMMYFUNCTION("""COMPUTED_VALUE"""),"Satisfactory")</f>
        <v>Satisfactory</v>
      </c>
      <c r="AT8" s="2" t="str">
        <f>IFERROR(__xludf.DUMMYFUNCTION("""COMPUTED_VALUE"""),"Excellent")</f>
        <v>Excellent</v>
      </c>
      <c r="AU8" s="2" t="str">
        <f>IFERROR(__xludf.DUMMYFUNCTION("""COMPUTED_VALUE"""),"Unsatisfactory")</f>
        <v>Unsatisfactory</v>
      </c>
      <c r="AV8" s="2" t="str">
        <f>IFERROR(__xludf.DUMMYFUNCTION("""COMPUTED_VALUE"""),"Satisfactory")</f>
        <v>Satisfactory</v>
      </c>
      <c r="AW8" s="2" t="str">
        <f>IFERROR(__xludf.DUMMYFUNCTION("""COMPUTED_VALUE"""),"NA")</f>
        <v>NA</v>
      </c>
      <c r="AX8" s="2" t="str">
        <f>IFERROR(__xludf.DUMMYFUNCTION("""COMPUTED_VALUE"""),"NA")</f>
        <v>NA</v>
      </c>
      <c r="AY8" s="2" t="str">
        <f>IFERROR(__xludf.DUMMYFUNCTION("""COMPUTED_VALUE"""),"Funding")</f>
        <v>Funding</v>
      </c>
      <c r="AZ8" s="2" t="str">
        <f>IFERROR(__xludf.DUMMYFUNCTION("""COMPUTED_VALUE"""),"CS 0447/CS 0449/CS 1550 (computer systems/architecture), CS 1502/CS 2210/CS 2893 (theory/math foundations), CS 1520 (security/networks), and CS 1566/CS 1635/CS 1666 (interface/graphics): as a PhD student in ML/NLP/AI-related research, I don't have suffici"&amp;"ent TA background in these areas outside my specialization")</f>
        <v>CS 0447/CS 0449/CS 1550 (computer systems/architecture), CS 1502/CS 2210/CS 2893 (theory/math foundations), CS 1520 (security/networks), and CS 1566/CS 1635/CS 1666 (interface/graphics): as a PhD student in ML/NLP/AI-related research, I don't have sufficient TA background in these areas outside my specialization</v>
      </c>
      <c r="BA8" s="2"/>
      <c r="BB8" s="2"/>
      <c r="BC8" s="2"/>
      <c r="BD8" s="2"/>
      <c r="BE8" s="2"/>
      <c r="BF8" s="2"/>
    </row>
    <row r="9">
      <c r="A9" s="3">
        <f>IFERROR(__xludf.DUMMYFUNCTION("""COMPUTED_VALUE"""),46246.59826490741)</f>
        <v>46246.59826</v>
      </c>
      <c r="B9" s="2" t="str">
        <f>IFERROR(__xludf.DUMMYFUNCTION("""COMPUTED_VALUE"""),"H")</f>
        <v>H</v>
      </c>
      <c r="C9" s="2" t="str">
        <f>IFERROR(__xludf.DUMMYFUNCTION("""COMPUTED_VALUE"""),"F")</f>
        <v>F</v>
      </c>
      <c r="D9" s="2" t="str">
        <f>IFERROR(__xludf.DUMMYFUNCTION("""COMPUTED_VALUE"""),"h@pitt.edu")</f>
        <v>h@pitt.edu</v>
      </c>
      <c r="E9" s="2" t="str">
        <f>IFERROR(__xludf.DUMMYFUNCTION("""COMPUTED_VALUE"""),"Cannot TA Group (explain below)")</f>
        <v>Cannot TA Group (explain below)</v>
      </c>
      <c r="F9" s="2" t="str">
        <f>IFERROR(__xludf.DUMMYFUNCTION("""COMPUTED_VALUE"""),"Cannot TA Group (explain below)")</f>
        <v>Cannot TA Group (explain below)</v>
      </c>
      <c r="G9" s="2" t="str">
        <f>IFERROR(__xludf.DUMMYFUNCTION("""COMPUTED_VALUE"""),"Cannot TA Group (explain below)")</f>
        <v>Cannot TA Group (explain below)</v>
      </c>
      <c r="H9" s="2" t="str">
        <f>IFERROR(__xludf.DUMMYFUNCTION("""COMPUTED_VALUE"""),"Cannot TA Group (explain below)")</f>
        <v>Cannot TA Group (explain below)</v>
      </c>
      <c r="I9" s="2" t="str">
        <f>IFERROR(__xludf.DUMMYFUNCTION("""COMPUTED_VALUE"""),"Cannot TA Group (explain below)")</f>
        <v>Cannot TA Group (explain below)</v>
      </c>
      <c r="J9" s="2" t="str">
        <f>IFERROR(__xludf.DUMMYFUNCTION("""COMPUTED_VALUE"""),"Cannot TA Group (explain below)")</f>
        <v>Cannot TA Group (explain below)</v>
      </c>
      <c r="K9" s="2" t="str">
        <f>IFERROR(__xludf.DUMMYFUNCTION("""COMPUTED_VALUE"""),"Cannot TA Group (explain below)")</f>
        <v>Cannot TA Group (explain below)</v>
      </c>
      <c r="L9" s="2" t="str">
        <f>IFERROR(__xludf.DUMMYFUNCTION("""COMPUTED_VALUE"""),"Cannot TA Group (explain below)")</f>
        <v>Cannot TA Group (explain below)</v>
      </c>
      <c r="M9" s="2" t="str">
        <f>IFERROR(__xludf.DUMMYFUNCTION("""COMPUTED_VALUE"""),"Second Choice")</f>
        <v>Second Choice</v>
      </c>
      <c r="N9" s="2" t="str">
        <f>IFERROR(__xludf.DUMMYFUNCTION("""COMPUTED_VALUE"""),"Cannot TA Group (explain below)")</f>
        <v>Cannot TA Group (explain below)</v>
      </c>
      <c r="O9" s="2" t="str">
        <f>IFERROR(__xludf.DUMMYFUNCTION("""COMPUTED_VALUE"""),"Cannot TA Group (explain below)")</f>
        <v>Cannot TA Group (explain below)</v>
      </c>
      <c r="P9" s="2" t="str">
        <f>IFERROR(__xludf.DUMMYFUNCTION("""COMPUTED_VALUE"""),"Cannot TA Group (explain below)")</f>
        <v>Cannot TA Group (explain below)</v>
      </c>
      <c r="Q9" s="2" t="str">
        <f>IFERROR(__xludf.DUMMYFUNCTION("""COMPUTED_VALUE"""),"Cannot TA Group (explain below)")</f>
        <v>Cannot TA Group (explain below)</v>
      </c>
      <c r="R9" s="2" t="str">
        <f>IFERROR(__xludf.DUMMYFUNCTION("""COMPUTED_VALUE"""),"Cannot TA Group (explain below)")</f>
        <v>Cannot TA Group (explain below)</v>
      </c>
      <c r="S9" s="2" t="str">
        <f>IFERROR(__xludf.DUMMYFUNCTION("""COMPUTED_VALUE"""),"Cannot TA Group (explain below)")</f>
        <v>Cannot TA Group (explain below)</v>
      </c>
      <c r="T9" s="2" t="str">
        <f>IFERROR(__xludf.DUMMYFUNCTION("""COMPUTED_VALUE"""),"Cannot TA Group (explain below)")</f>
        <v>Cannot TA Group (explain below)</v>
      </c>
      <c r="U9" s="2" t="str">
        <f>IFERROR(__xludf.DUMMYFUNCTION("""COMPUTED_VALUE"""),"Cannot TA Group (explain below)")</f>
        <v>Cannot TA Group (explain below)</v>
      </c>
      <c r="V9" s="2" t="str">
        <f>IFERROR(__xludf.DUMMYFUNCTION("""COMPUTED_VALUE"""),"Second Choice")</f>
        <v>Second Choice</v>
      </c>
      <c r="W9" s="2" t="str">
        <f>IFERROR(__xludf.DUMMYFUNCTION("""COMPUTED_VALUE"""),"Cannot TA Group (explain below)")</f>
        <v>Cannot TA Group (explain below)</v>
      </c>
      <c r="X9" s="2" t="str">
        <f>IFERROR(__xludf.DUMMYFUNCTION("""COMPUTED_VALUE"""),"Cannot TA Group (explain below)")</f>
        <v>Cannot TA Group (explain below)</v>
      </c>
      <c r="Y9" s="2" t="str">
        <f>IFERROR(__xludf.DUMMYFUNCTION("""COMPUTED_VALUE"""),"Cannot TA Group (explain below)")</f>
        <v>Cannot TA Group (explain below)</v>
      </c>
      <c r="Z9" s="2" t="str">
        <f>IFERROR(__xludf.DUMMYFUNCTION("""COMPUTED_VALUE"""),"Second Choice")</f>
        <v>Second Choice</v>
      </c>
      <c r="AA9" s="2" t="str">
        <f>IFERROR(__xludf.DUMMYFUNCTION("""COMPUTED_VALUE"""),"Cannot TA Group (explain below)")</f>
        <v>Cannot TA Group (explain below)</v>
      </c>
      <c r="AB9" s="2" t="str">
        <f>IFERROR(__xludf.DUMMYFUNCTION("""COMPUTED_VALUE"""),"Cannot TA Group (explain below)")</f>
        <v>Cannot TA Group (explain below)</v>
      </c>
      <c r="AC9" s="2" t="str">
        <f>IFERROR(__xludf.DUMMYFUNCTION("""COMPUTED_VALUE"""),"First Choice Group")</f>
        <v>First Choice Group</v>
      </c>
      <c r="AD9" s="2" t="str">
        <f>IFERROR(__xludf.DUMMYFUNCTION("""COMPUTED_VALUE"""),"Cannot TA Group (explain below)")</f>
        <v>Cannot TA Group (explain below)</v>
      </c>
      <c r="AE9" s="2" t="str">
        <f>IFERROR(__xludf.DUMMYFUNCTION("""COMPUTED_VALUE"""),"Second Choice")</f>
        <v>Second Choice</v>
      </c>
      <c r="AF9" s="2" t="str">
        <f>IFERROR(__xludf.DUMMYFUNCTION("""COMPUTED_VALUE"""),"Cannot TA Group (explain below)")</f>
        <v>Cannot TA Group (explain below)</v>
      </c>
      <c r="AG9" s="2" t="str">
        <f>IFERROR(__xludf.DUMMYFUNCTION("""COMPUTED_VALUE"""),"Cannot TA Group (explain below)")</f>
        <v>Cannot TA Group (explain below)</v>
      </c>
      <c r="AH9" s="2" t="str">
        <f>IFERROR(__xludf.DUMMYFUNCTION("""COMPUTED_VALUE"""),"Cannot TA Group (explain below)")</f>
        <v>Cannot TA Group (explain below)</v>
      </c>
      <c r="AI9" s="2" t="str">
        <f>IFERROR(__xludf.DUMMYFUNCTION("""COMPUTED_VALUE"""),"Cannot TA Group (explain below)")</f>
        <v>Cannot TA Group (explain below)</v>
      </c>
      <c r="AJ9" s="2" t="str">
        <f>IFERROR(__xludf.DUMMYFUNCTION("""COMPUTED_VALUE"""),"Cannot TA Group (explain below)")</f>
        <v>Cannot TA Group (explain below)</v>
      </c>
      <c r="AK9" s="2" t="str">
        <f>IFERROR(__xludf.DUMMYFUNCTION("""COMPUTED_VALUE"""),"Cannot TA Group (explain below)")</f>
        <v>Cannot TA Group (explain below)</v>
      </c>
      <c r="AL9" s="2" t="str">
        <f>IFERROR(__xludf.DUMMYFUNCTION("""COMPUTED_VALUE"""),"Cannot TA Group (explain below)")</f>
        <v>Cannot TA Group (explain below)</v>
      </c>
      <c r="AM9" s="2" t="str">
        <f>IFERROR(__xludf.DUMMYFUNCTION("""COMPUTED_VALUE"""),"Cannot TA Group (explain below)")</f>
        <v>Cannot TA Group (explain below)</v>
      </c>
      <c r="AN9" s="2" t="str">
        <f>IFERROR(__xludf.DUMMYFUNCTION("""COMPUTED_VALUE"""),"Cannot TA Group (explain below)")</f>
        <v>Cannot TA Group (explain below)</v>
      </c>
      <c r="AO9" s="2" t="str">
        <f>IFERROR(__xludf.DUMMYFUNCTION("""COMPUTED_VALUE"""),"Excellent")</f>
        <v>Excellent</v>
      </c>
      <c r="AP9" s="2" t="str">
        <f>IFERROR(__xludf.DUMMYFUNCTION("""COMPUTED_VALUE"""),"Unsatisfactory")</f>
        <v>Unsatisfactory</v>
      </c>
      <c r="AQ9" s="2" t="str">
        <f>IFERROR(__xludf.DUMMYFUNCTION("""COMPUTED_VALUE"""),"Unsatisfactory")</f>
        <v>Unsatisfactory</v>
      </c>
      <c r="AR9" s="2" t="str">
        <f>IFERROR(__xludf.DUMMYFUNCTION("""COMPUTED_VALUE"""),"Unsatisfactory")</f>
        <v>Unsatisfactory</v>
      </c>
      <c r="AS9" s="2" t="str">
        <f>IFERROR(__xludf.DUMMYFUNCTION("""COMPUTED_VALUE"""),"Excellent")</f>
        <v>Excellent</v>
      </c>
      <c r="AT9" s="2" t="str">
        <f>IFERROR(__xludf.DUMMYFUNCTION("""COMPUTED_VALUE"""),"Excellent")</f>
        <v>Excellent</v>
      </c>
      <c r="AU9" s="2" t="str">
        <f>IFERROR(__xludf.DUMMYFUNCTION("""COMPUTED_VALUE"""),"Unsatisfactory")</f>
        <v>Unsatisfactory</v>
      </c>
      <c r="AV9" s="2" t="str">
        <f>IFERROR(__xludf.DUMMYFUNCTION("""COMPUTED_VALUE"""),"Strong")</f>
        <v>Strong</v>
      </c>
      <c r="AW9" s="2" t="str">
        <f>IFERROR(__xludf.DUMMYFUNCTION("""COMPUTED_VALUE"""),"Monday: unavailable after 3:00 PM
Tuesday: unavailable after 12:00 PM-2:00PM")</f>
        <v>Monday: unavailable after 3:00 PM
Tuesday: unavailable after 12:00 PM-2:00PM</v>
      </c>
      <c r="AX9" s="2" t="str">
        <f>IFERROR(__xludf.DUMMYFUNCTION("""COMPUTED_VALUE"""),"None")</f>
        <v>None</v>
      </c>
      <c r="AY9" s="2" t="str">
        <f>IFERROR(__xludf.DUMMYFUNCTION("""COMPUTED_VALUE"""),"Improve public speaking or other skills")</f>
        <v>Improve public speaking or other skills</v>
      </c>
      <c r="AZ9" s="2" t="str">
        <f>IFERROR(__xludf.DUMMYFUNCTION("""COMPUTED_VALUE"""),"None")</f>
        <v>None</v>
      </c>
      <c r="BA9" s="2"/>
      <c r="BB9" s="2"/>
      <c r="BC9" s="2"/>
      <c r="BD9" s="2"/>
      <c r="BE9" s="2"/>
      <c r="BF9" s="2"/>
    </row>
    <row r="10">
      <c r="A10" s="3">
        <f>IFERROR(__xludf.DUMMYFUNCTION("""COMPUTED_VALUE"""),46246.6414644676)</f>
        <v>46246.64146</v>
      </c>
      <c r="B10" s="2" t="str">
        <f>IFERROR(__xludf.DUMMYFUNCTION("""COMPUTED_VALUE"""),"I")</f>
        <v>I</v>
      </c>
      <c r="C10" s="2" t="str">
        <f>IFERROR(__xludf.DUMMYFUNCTION("""COMPUTED_VALUE"""),"G")</f>
        <v>G</v>
      </c>
      <c r="D10" s="2" t="str">
        <f>IFERROR(__xludf.DUMMYFUNCTION("""COMPUTED_VALUE"""),"i@pitt.edu")</f>
        <v>i@pitt.edu</v>
      </c>
      <c r="E10" s="2" t="str">
        <f>IFERROR(__xludf.DUMMYFUNCTION("""COMPUTED_VALUE"""),"Cannot TA Group (explain below)")</f>
        <v>Cannot TA Group (explain below)</v>
      </c>
      <c r="F10" s="2" t="str">
        <f>IFERROR(__xludf.DUMMYFUNCTION("""COMPUTED_VALUE"""),"Cannot TA Group (explain below)")</f>
        <v>Cannot TA Group (explain below)</v>
      </c>
      <c r="G10" s="2" t="str">
        <f>IFERROR(__xludf.DUMMYFUNCTION("""COMPUTED_VALUE"""),"Cannot TA Group (explain below)")</f>
        <v>Cannot TA Group (explain below)</v>
      </c>
      <c r="H10" s="2" t="str">
        <f>IFERROR(__xludf.DUMMYFUNCTION("""COMPUTED_VALUE"""),"Cannot TA Group (explain below)")</f>
        <v>Cannot TA Group (explain below)</v>
      </c>
      <c r="I10" s="2" t="str">
        <f>IFERROR(__xludf.DUMMYFUNCTION("""COMPUTED_VALUE"""),"Cannot TA Group (explain below)")</f>
        <v>Cannot TA Group (explain below)</v>
      </c>
      <c r="J10" s="2" t="str">
        <f>IFERROR(__xludf.DUMMYFUNCTION("""COMPUTED_VALUE"""),"Cannot TA Group (explain below)")</f>
        <v>Cannot TA Group (explain below)</v>
      </c>
      <c r="K10" s="2" t="str">
        <f>IFERROR(__xludf.DUMMYFUNCTION("""COMPUTED_VALUE"""),"Cannot TA Group (explain below)")</f>
        <v>Cannot TA Group (explain below)</v>
      </c>
      <c r="L10" s="2" t="str">
        <f>IFERROR(__xludf.DUMMYFUNCTION("""COMPUTED_VALUE"""),"Cannot TA Group (explain below)")</f>
        <v>Cannot TA Group (explain below)</v>
      </c>
      <c r="M10" s="2" t="str">
        <f>IFERROR(__xludf.DUMMYFUNCTION("""COMPUTED_VALUE"""),"Cannot TA Group (explain below)")</f>
        <v>Cannot TA Group (explain below)</v>
      </c>
      <c r="N10" s="2" t="str">
        <f>IFERROR(__xludf.DUMMYFUNCTION("""COMPUTED_VALUE"""),"Cannot TA Group (explain below)")</f>
        <v>Cannot TA Group (explain below)</v>
      </c>
      <c r="O10" s="2" t="str">
        <f>IFERROR(__xludf.DUMMYFUNCTION("""COMPUTED_VALUE"""),"Cannot TA Group (explain below)")</f>
        <v>Cannot TA Group (explain below)</v>
      </c>
      <c r="P10" s="2" t="str">
        <f>IFERROR(__xludf.DUMMYFUNCTION("""COMPUTED_VALUE"""),"Cannot TA Group (explain below)")</f>
        <v>Cannot TA Group (explain below)</v>
      </c>
      <c r="Q10" s="2" t="str">
        <f>IFERROR(__xludf.DUMMYFUNCTION("""COMPUTED_VALUE"""),"Cannot TA Group (explain below)")</f>
        <v>Cannot TA Group (explain below)</v>
      </c>
      <c r="R10" s="2" t="str">
        <f>IFERROR(__xludf.DUMMYFUNCTION("""COMPUTED_VALUE"""),"Third Choice Group")</f>
        <v>Third Choice Group</v>
      </c>
      <c r="S10" s="2" t="str">
        <f>IFERROR(__xludf.DUMMYFUNCTION("""COMPUTED_VALUE"""),"Cannot TA Group (explain below)")</f>
        <v>Cannot TA Group (explain below)</v>
      </c>
      <c r="T10" s="2" t="str">
        <f>IFERROR(__xludf.DUMMYFUNCTION("""COMPUTED_VALUE"""),"Cannot TA Group (explain below)")</f>
        <v>Cannot TA Group (explain below)</v>
      </c>
      <c r="U10" s="2" t="str">
        <f>IFERROR(__xludf.DUMMYFUNCTION("""COMPUTED_VALUE"""),"Cannot TA Group (explain below)")</f>
        <v>Cannot TA Group (explain below)</v>
      </c>
      <c r="V10" s="2" t="str">
        <f>IFERROR(__xludf.DUMMYFUNCTION("""COMPUTED_VALUE"""),"Third Choice Group")</f>
        <v>Third Choice Group</v>
      </c>
      <c r="W10" s="2" t="str">
        <f>IFERROR(__xludf.DUMMYFUNCTION("""COMPUTED_VALUE"""),"Cannot TA Group (explain below)")</f>
        <v>Cannot TA Group (explain below)</v>
      </c>
      <c r="X10" s="2" t="str">
        <f>IFERROR(__xludf.DUMMYFUNCTION("""COMPUTED_VALUE"""),"Cannot TA Group (explain below)")</f>
        <v>Cannot TA Group (explain below)</v>
      </c>
      <c r="Y10" s="2" t="str">
        <f>IFERROR(__xludf.DUMMYFUNCTION("""COMPUTED_VALUE"""),"Third Choice Group")</f>
        <v>Third Choice Group</v>
      </c>
      <c r="Z10" s="2" t="str">
        <f>IFERROR(__xludf.DUMMYFUNCTION("""COMPUTED_VALUE"""),"Third Choice Group")</f>
        <v>Third Choice Group</v>
      </c>
      <c r="AA10" s="2" t="str">
        <f>IFERROR(__xludf.DUMMYFUNCTION("""COMPUTED_VALUE"""),"Cannot TA Group (explain below)")</f>
        <v>Cannot TA Group (explain below)</v>
      </c>
      <c r="AB10" s="2" t="str">
        <f>IFERROR(__xludf.DUMMYFUNCTION("""COMPUTED_VALUE"""),"Cannot TA Group (explain below)")</f>
        <v>Cannot TA Group (explain below)</v>
      </c>
      <c r="AC10" s="2" t="str">
        <f>IFERROR(__xludf.DUMMYFUNCTION("""COMPUTED_VALUE"""),"Second Choice")</f>
        <v>Second Choice</v>
      </c>
      <c r="AD10" s="2" t="str">
        <f>IFERROR(__xludf.DUMMYFUNCTION("""COMPUTED_VALUE"""),"Second Choice")</f>
        <v>Second Choice</v>
      </c>
      <c r="AE10" s="2" t="str">
        <f>IFERROR(__xludf.DUMMYFUNCTION("""COMPUTED_VALUE"""),"Third Choice Group")</f>
        <v>Third Choice Group</v>
      </c>
      <c r="AF10" s="2" t="str">
        <f>IFERROR(__xludf.DUMMYFUNCTION("""COMPUTED_VALUE"""),"Second Choice")</f>
        <v>Second Choice</v>
      </c>
      <c r="AG10" s="2" t="str">
        <f>IFERROR(__xludf.DUMMYFUNCTION("""COMPUTED_VALUE"""),"Second Choice")</f>
        <v>Second Choice</v>
      </c>
      <c r="AH10" s="2" t="str">
        <f>IFERROR(__xludf.DUMMYFUNCTION("""COMPUTED_VALUE"""),"Second Choice")</f>
        <v>Second Choice</v>
      </c>
      <c r="AI10" s="2" t="str">
        <f>IFERROR(__xludf.DUMMYFUNCTION("""COMPUTED_VALUE"""),"Cannot TA Group (explain below)")</f>
        <v>Cannot TA Group (explain below)</v>
      </c>
      <c r="AJ10" s="2" t="str">
        <f>IFERROR(__xludf.DUMMYFUNCTION("""COMPUTED_VALUE"""),"Cannot TA Group (explain below)")</f>
        <v>Cannot TA Group (explain below)</v>
      </c>
      <c r="AK10" s="2" t="str">
        <f>IFERROR(__xludf.DUMMYFUNCTION("""COMPUTED_VALUE"""),"First Choice Group")</f>
        <v>First Choice Group</v>
      </c>
      <c r="AL10" s="2" t="str">
        <f>IFERROR(__xludf.DUMMYFUNCTION("""COMPUTED_VALUE"""),"First Choice Group")</f>
        <v>First Choice Group</v>
      </c>
      <c r="AM10" s="2" t="str">
        <f>IFERROR(__xludf.DUMMYFUNCTION("""COMPUTED_VALUE"""),"First Choice Group")</f>
        <v>First Choice Group</v>
      </c>
      <c r="AN10" s="2" t="str">
        <f>IFERROR(__xludf.DUMMYFUNCTION("""COMPUTED_VALUE"""),"Cannot TA Group (explain below)")</f>
        <v>Cannot TA Group (explain below)</v>
      </c>
      <c r="AO10" s="2" t="str">
        <f>IFERROR(__xludf.DUMMYFUNCTION("""COMPUTED_VALUE"""),"Excellent")</f>
        <v>Excellent</v>
      </c>
      <c r="AP10" s="2" t="str">
        <f>IFERROR(__xludf.DUMMYFUNCTION("""COMPUTED_VALUE"""),"Satisfactory")</f>
        <v>Satisfactory</v>
      </c>
      <c r="AQ10" s="2" t="str">
        <f>IFERROR(__xludf.DUMMYFUNCTION("""COMPUTED_VALUE"""),"Unsatisfactory")</f>
        <v>Unsatisfactory</v>
      </c>
      <c r="AR10" s="2" t="str">
        <f>IFERROR(__xludf.DUMMYFUNCTION("""COMPUTED_VALUE"""),"Satisfactory")</f>
        <v>Satisfactory</v>
      </c>
      <c r="AS10" s="2" t="str">
        <f>IFERROR(__xludf.DUMMYFUNCTION("""COMPUTED_VALUE"""),"Excellent")</f>
        <v>Excellent</v>
      </c>
      <c r="AT10" s="2" t="str">
        <f>IFERROR(__xludf.DUMMYFUNCTION("""COMPUTED_VALUE"""),"Excellent")</f>
        <v>Excellent</v>
      </c>
      <c r="AU10" s="2" t="str">
        <f>IFERROR(__xludf.DUMMYFUNCTION("""COMPUTED_VALUE"""),"Unsatisfactory")</f>
        <v>Unsatisfactory</v>
      </c>
      <c r="AV10" s="2" t="str">
        <f>IFERROR(__xludf.DUMMYFUNCTION("""COMPUTED_VALUE"""),"Satisfactory")</f>
        <v>Satisfactory</v>
      </c>
      <c r="AW10" s="2" t="str">
        <f>IFERROR(__xludf.DUMMYFUNCTION("""COMPUTED_VALUE"""),"None")</f>
        <v>None</v>
      </c>
      <c r="AX10" s="2" t="str">
        <f>IFERROR(__xludf.DUMMYFUNCTION("""COMPUTED_VALUE"""),"Not have required background for TA: CS 2893, CS 2520, CS 2210, CS 1666, CS 1660/2060, CS 1635/2035, CS 1632, CS 1566, CS 1555/2055, CS 1510/2012, CS 1502, CS 0590, CS 0447, CS 0449
Need grading-only TA and these courses are recitation based: CS 1550, CS"&amp;" 1520, CS 1503, CS 1501, CS 0445, CS 0441, CMPINF 0401, CS 0011/0012, CS 0007 ")</f>
        <v>Not have required background for TA: CS 2893, CS 2520, CS 2210, CS 1666, CS 1660/2060, CS 1635/2035, CS 1632, CS 1566, CS 1555/2055, CS 1510/2012, CS 1502, CS 0590, CS 0447, CS 0449
Need grading-only TA and these courses are recitation based: CS 1550, CS 1520, CS 1503, CS 1501, CS 0445, CS 0441, CMPINF 0401, CS 0011/0012, CS 0007 </v>
      </c>
      <c r="AY10" s="2" t="str">
        <f>IFERROR(__xludf.DUMMYFUNCTION("""COMPUTED_VALUE"""),"Funding")</f>
        <v>Funding</v>
      </c>
      <c r="AZ10" s="2" t="str">
        <f>IFERROR(__xludf.DUMMYFUNCTION("""COMPUTED_VALUE"""),"I kindly request a grading-only TA assignment, as I have multiple travel plans in the fall for conferences and personal family reasons.")</f>
        <v>I kindly request a grading-only TA assignment, as I have multiple travel plans in the fall for conferences and personal family reasons.</v>
      </c>
      <c r="BA10" s="2"/>
      <c r="BB10" s="2"/>
      <c r="BC10" s="2"/>
      <c r="BD10" s="2"/>
      <c r="BE10" s="2"/>
      <c r="BF10" s="2"/>
    </row>
    <row r="11">
      <c r="A11" s="3">
        <f>IFERROR(__xludf.DUMMYFUNCTION("""COMPUTED_VALUE"""),46246.68936491898)</f>
        <v>46246.68936</v>
      </c>
      <c r="B11" s="2" t="str">
        <f>IFERROR(__xludf.DUMMYFUNCTION("""COMPUTED_VALUE"""),"J")</f>
        <v>J</v>
      </c>
      <c r="C11" s="2" t="str">
        <f>IFERROR(__xludf.DUMMYFUNCTION("""COMPUTED_VALUE"""),"H")</f>
        <v>H</v>
      </c>
      <c r="D11" s="2" t="str">
        <f>IFERROR(__xludf.DUMMYFUNCTION("""COMPUTED_VALUE"""),"j@pitt.edu")</f>
        <v>j@pitt.edu</v>
      </c>
      <c r="E11" s="2" t="str">
        <f>IFERROR(__xludf.DUMMYFUNCTION("""COMPUTED_VALUE"""),"First Choice Group")</f>
        <v>First Choice Group</v>
      </c>
      <c r="F11" s="2" t="str">
        <f>IFERROR(__xludf.DUMMYFUNCTION("""COMPUTED_VALUE"""),"Second Choice")</f>
        <v>Second Choice</v>
      </c>
      <c r="G11" s="2" t="str">
        <f>IFERROR(__xludf.DUMMYFUNCTION("""COMPUTED_VALUE"""),"Second Choice")</f>
        <v>Second Choice</v>
      </c>
      <c r="H11" s="2" t="str">
        <f>IFERROR(__xludf.DUMMYFUNCTION("""COMPUTED_VALUE"""),"Third Choice Group")</f>
        <v>Third Choice Group</v>
      </c>
      <c r="I11" s="2" t="str">
        <f>IFERROR(__xludf.DUMMYFUNCTION("""COMPUTED_VALUE"""),"First Choice Group")</f>
        <v>First Choice Group</v>
      </c>
      <c r="J11" s="2" t="str">
        <f>IFERROR(__xludf.DUMMYFUNCTION("""COMPUTED_VALUE"""),"Cannot TA Group (explain below)")</f>
        <v>Cannot TA Group (explain below)</v>
      </c>
      <c r="K11" s="2" t="str">
        <f>IFERROR(__xludf.DUMMYFUNCTION("""COMPUTED_VALUE"""),"Cannot TA Group (explain below)")</f>
        <v>Cannot TA Group (explain below)</v>
      </c>
      <c r="L11" s="2" t="str">
        <f>IFERROR(__xludf.DUMMYFUNCTION("""COMPUTED_VALUE"""),"Second Choice")</f>
        <v>Second Choice</v>
      </c>
      <c r="M11" s="2" t="str">
        <f>IFERROR(__xludf.DUMMYFUNCTION("""COMPUTED_VALUE"""),"First Choice Group")</f>
        <v>First Choice Group</v>
      </c>
      <c r="N11" s="2" t="str">
        <f>IFERROR(__xludf.DUMMYFUNCTION("""COMPUTED_VALUE"""),"Third Choice Group")</f>
        <v>Third Choice Group</v>
      </c>
      <c r="O11" s="2" t="str">
        <f>IFERROR(__xludf.DUMMYFUNCTION("""COMPUTED_VALUE"""),"Third Choice Group")</f>
        <v>Third Choice Group</v>
      </c>
      <c r="P11" s="2" t="str">
        <f>IFERROR(__xludf.DUMMYFUNCTION("""COMPUTED_VALUE"""),"Cannot TA Group (explain below)")</f>
        <v>Cannot TA Group (explain below)</v>
      </c>
      <c r="Q11" s="2" t="str">
        <f>IFERROR(__xludf.DUMMYFUNCTION("""COMPUTED_VALUE"""),"Third Choice Group")</f>
        <v>Third Choice Group</v>
      </c>
      <c r="R11" s="2" t="str">
        <f>IFERROR(__xludf.DUMMYFUNCTION("""COMPUTED_VALUE"""),"Third Choice Group")</f>
        <v>Third Choice Group</v>
      </c>
      <c r="S11" s="2" t="str">
        <f>IFERROR(__xludf.DUMMYFUNCTION("""COMPUTED_VALUE"""),"Cannot TA Group (explain below)")</f>
        <v>Cannot TA Group (explain below)</v>
      </c>
      <c r="T11" s="2" t="str">
        <f>IFERROR(__xludf.DUMMYFUNCTION("""COMPUTED_VALUE"""),"Cannot TA Group (explain below)")</f>
        <v>Cannot TA Group (explain below)</v>
      </c>
      <c r="U11" s="2" t="str">
        <f>IFERROR(__xludf.DUMMYFUNCTION("""COMPUTED_VALUE"""),"Cannot TA Group (explain below)")</f>
        <v>Cannot TA Group (explain below)</v>
      </c>
      <c r="V11" s="2" t="str">
        <f>IFERROR(__xludf.DUMMYFUNCTION("""COMPUTED_VALUE"""),"Second Choice")</f>
        <v>Second Choice</v>
      </c>
      <c r="W11" s="2" t="str">
        <f>IFERROR(__xludf.DUMMYFUNCTION("""COMPUTED_VALUE"""),"Third Choice Group")</f>
        <v>Third Choice Group</v>
      </c>
      <c r="X11" s="2" t="str">
        <f>IFERROR(__xludf.DUMMYFUNCTION("""COMPUTED_VALUE"""),"Third Choice Group")</f>
        <v>Third Choice Group</v>
      </c>
      <c r="Y11" s="2" t="str">
        <f>IFERROR(__xludf.DUMMYFUNCTION("""COMPUTED_VALUE"""),"Cannot TA Group (explain below)")</f>
        <v>Cannot TA Group (explain below)</v>
      </c>
      <c r="Z11" s="2" t="str">
        <f>IFERROR(__xludf.DUMMYFUNCTION("""COMPUTED_VALUE"""),"First Choice Group")</f>
        <v>First Choice Group</v>
      </c>
      <c r="AA11" s="2" t="str">
        <f>IFERROR(__xludf.DUMMYFUNCTION("""COMPUTED_VALUE"""),"Cannot TA Group (explain below)")</f>
        <v>Cannot TA Group (explain below)</v>
      </c>
      <c r="AB11" s="2" t="str">
        <f>IFERROR(__xludf.DUMMYFUNCTION("""COMPUTED_VALUE"""),"Cannot TA Group (explain below)")</f>
        <v>Cannot TA Group (explain below)</v>
      </c>
      <c r="AC11" s="2" t="str">
        <f>IFERROR(__xludf.DUMMYFUNCTION("""COMPUTED_VALUE"""),"Second Choice")</f>
        <v>Second Choice</v>
      </c>
      <c r="AD11" s="2" t="str">
        <f>IFERROR(__xludf.DUMMYFUNCTION("""COMPUTED_VALUE"""),"Third Choice Group")</f>
        <v>Third Choice Group</v>
      </c>
      <c r="AE11" s="2" t="str">
        <f>IFERROR(__xludf.DUMMYFUNCTION("""COMPUTED_VALUE"""),"Second Choice")</f>
        <v>Second Choice</v>
      </c>
      <c r="AF11" s="2" t="str">
        <f>IFERROR(__xludf.DUMMYFUNCTION("""COMPUTED_VALUE"""),"Third Choice Group")</f>
        <v>Third Choice Group</v>
      </c>
      <c r="AG11" s="2" t="str">
        <f>IFERROR(__xludf.DUMMYFUNCTION("""COMPUTED_VALUE"""),"Cannot TA Group (explain below)")</f>
        <v>Cannot TA Group (explain below)</v>
      </c>
      <c r="AH11" s="2" t="str">
        <f>IFERROR(__xludf.DUMMYFUNCTION("""COMPUTED_VALUE"""),"Cannot TA Group (explain below)")</f>
        <v>Cannot TA Group (explain below)</v>
      </c>
      <c r="AI11" s="2" t="str">
        <f>IFERROR(__xludf.DUMMYFUNCTION("""COMPUTED_VALUE"""),"Cannot TA Group (explain below)")</f>
        <v>Cannot TA Group (explain below)</v>
      </c>
      <c r="AJ11" s="2" t="str">
        <f>IFERROR(__xludf.DUMMYFUNCTION("""COMPUTED_VALUE"""),"Cannot TA Group (explain below)")</f>
        <v>Cannot TA Group (explain below)</v>
      </c>
      <c r="AK11" s="2" t="str">
        <f>IFERROR(__xludf.DUMMYFUNCTION("""COMPUTED_VALUE"""),"Third Choice Group")</f>
        <v>Third Choice Group</v>
      </c>
      <c r="AL11" s="2" t="str">
        <f>IFERROR(__xludf.DUMMYFUNCTION("""COMPUTED_VALUE"""),"Second Choice")</f>
        <v>Second Choice</v>
      </c>
      <c r="AM11" s="2" t="str">
        <f>IFERROR(__xludf.DUMMYFUNCTION("""COMPUTED_VALUE"""),"Third Choice Group")</f>
        <v>Third Choice Group</v>
      </c>
      <c r="AN11" s="2" t="str">
        <f>IFERROR(__xludf.DUMMYFUNCTION("""COMPUTED_VALUE"""),"Cannot TA Group (explain below)")</f>
        <v>Cannot TA Group (explain below)</v>
      </c>
      <c r="AO11" s="2" t="str">
        <f>IFERROR(__xludf.DUMMYFUNCTION("""COMPUTED_VALUE"""),"Excellent")</f>
        <v>Excellent</v>
      </c>
      <c r="AP11" s="2" t="str">
        <f>IFERROR(__xludf.DUMMYFUNCTION("""COMPUTED_VALUE"""),"Strong")</f>
        <v>Strong</v>
      </c>
      <c r="AQ11" s="2" t="str">
        <f>IFERROR(__xludf.DUMMYFUNCTION("""COMPUTED_VALUE"""),"Unsatisfactory")</f>
        <v>Unsatisfactory</v>
      </c>
      <c r="AR11" s="2" t="str">
        <f>IFERROR(__xludf.DUMMYFUNCTION("""COMPUTED_VALUE"""),"Satisfactory")</f>
        <v>Satisfactory</v>
      </c>
      <c r="AS11" s="2" t="str">
        <f>IFERROR(__xludf.DUMMYFUNCTION("""COMPUTED_VALUE"""),"Satisfactory")</f>
        <v>Satisfactory</v>
      </c>
      <c r="AT11" s="2" t="str">
        <f>IFERROR(__xludf.DUMMYFUNCTION("""COMPUTED_VALUE"""),"Strong")</f>
        <v>Strong</v>
      </c>
      <c r="AU11" s="2" t="str">
        <f>IFERROR(__xludf.DUMMYFUNCTION("""COMPUTED_VALUE"""),"Unsatisfactory")</f>
        <v>Unsatisfactory</v>
      </c>
      <c r="AV11" s="2" t="str">
        <f>IFERROR(__xludf.DUMMYFUNCTION("""COMPUTED_VALUE"""),"Unsatisfactory")</f>
        <v>Unsatisfactory</v>
      </c>
      <c r="AW11" s="2" t="str">
        <f>IFERROR(__xludf.DUMMYFUNCTION("""COMPUTED_VALUE"""),"Schedule is flexible. Might enroll for CS 2003, if TA duty permits. ")</f>
        <v>Schedule is flexible. Might enroll for CS 2003, if TA duty permits. </v>
      </c>
      <c r="AX11" s="2" t="str">
        <f>IFERROR(__xludf.DUMMYFUNCTION("""COMPUTED_VALUE"""),"N/A")</f>
        <v>N/A</v>
      </c>
      <c r="AY11" s="2" t="str">
        <f>IFERROR(__xludf.DUMMYFUNCTION("""COMPUTED_VALUE"""),"Funding, Teaching experience, Improve public speaking or other skills, Learn a new topic")</f>
        <v>Funding, Teaching experience, Improve public speaking or other skills, Learn a new topic</v>
      </c>
      <c r="AZ11" s="2" t="str">
        <f>IFERROR(__xludf.DUMMYFUNCTION("""COMPUTED_VALUE"""),"I would prefer to avoid systems courses, if possible, because my background and interests are more aligned with other areas. I would be able to contribute more effectively as a TA in those courses.")</f>
        <v>I would prefer to avoid systems courses, if possible, because my background and interests are more aligned with other areas. I would be able to contribute more effectively as a TA in those courses.</v>
      </c>
      <c r="BA11" s="2"/>
      <c r="BB11" s="2"/>
      <c r="BC11" s="2"/>
      <c r="BD11" s="2"/>
      <c r="BE11" s="2"/>
      <c r="BF11" s="2"/>
    </row>
    <row r="12">
      <c r="A12" s="3">
        <f>IFERROR(__xludf.DUMMYFUNCTION("""COMPUTED_VALUE"""),46246.69990787037)</f>
        <v>46246.69991</v>
      </c>
      <c r="B12" s="2" t="str">
        <f>IFERROR(__xludf.DUMMYFUNCTION("""COMPUTED_VALUE"""),"K")</f>
        <v>K</v>
      </c>
      <c r="C12" s="2" t="str">
        <f>IFERROR(__xludf.DUMMYFUNCTION("""COMPUTED_VALUE"""),"I")</f>
        <v>I</v>
      </c>
      <c r="D12" s="2" t="str">
        <f>IFERROR(__xludf.DUMMYFUNCTION("""COMPUTED_VALUE"""),"k@pitt.edu")</f>
        <v>k@pitt.edu</v>
      </c>
      <c r="E12" s="2" t="str">
        <f>IFERROR(__xludf.DUMMYFUNCTION("""COMPUTED_VALUE"""),"First Choice Group")</f>
        <v>First Choice Group</v>
      </c>
      <c r="F12" s="2" t="str">
        <f>IFERROR(__xludf.DUMMYFUNCTION("""COMPUTED_VALUE"""),"First Choice Group")</f>
        <v>First Choice Group</v>
      </c>
      <c r="G12" s="2" t="str">
        <f>IFERROR(__xludf.DUMMYFUNCTION("""COMPUTED_VALUE"""),"First Choice Group")</f>
        <v>First Choice Group</v>
      </c>
      <c r="H12" s="2" t="str">
        <f>IFERROR(__xludf.DUMMYFUNCTION("""COMPUTED_VALUE"""),"Third Choice Group")</f>
        <v>Third Choice Group</v>
      </c>
      <c r="I12" s="2" t="str">
        <f>IFERROR(__xludf.DUMMYFUNCTION("""COMPUTED_VALUE"""),"First Choice Group")</f>
        <v>First Choice Group</v>
      </c>
      <c r="J12" s="2" t="str">
        <f>IFERROR(__xludf.DUMMYFUNCTION("""COMPUTED_VALUE"""),"Third Choice Group")</f>
        <v>Third Choice Group</v>
      </c>
      <c r="K12" s="2" t="str">
        <f>IFERROR(__xludf.DUMMYFUNCTION("""COMPUTED_VALUE"""),"Third Choice Group")</f>
        <v>Third Choice Group</v>
      </c>
      <c r="L12" s="2" t="str">
        <f>IFERROR(__xludf.DUMMYFUNCTION("""COMPUTED_VALUE"""),"Third Choice Group")</f>
        <v>Third Choice Group</v>
      </c>
      <c r="M12" s="2" t="str">
        <f>IFERROR(__xludf.DUMMYFUNCTION("""COMPUTED_VALUE"""),"Second Choice")</f>
        <v>Second Choice</v>
      </c>
      <c r="N12" s="2" t="str">
        <f>IFERROR(__xludf.DUMMYFUNCTION("""COMPUTED_VALUE"""),"Cannot TA Group (explain below)")</f>
        <v>Cannot TA Group (explain below)</v>
      </c>
      <c r="O12" s="2" t="str">
        <f>IFERROR(__xludf.DUMMYFUNCTION("""COMPUTED_VALUE"""),"Second Choice")</f>
        <v>Second Choice</v>
      </c>
      <c r="P12" s="2" t="str">
        <f>IFERROR(__xludf.DUMMYFUNCTION("""COMPUTED_VALUE"""),"Cannot TA Group (explain below)")</f>
        <v>Cannot TA Group (explain below)</v>
      </c>
      <c r="Q12" s="2" t="str">
        <f>IFERROR(__xludf.DUMMYFUNCTION("""COMPUTED_VALUE"""),"First Choice Group")</f>
        <v>First Choice Group</v>
      </c>
      <c r="R12" s="2" t="str">
        <f>IFERROR(__xludf.DUMMYFUNCTION("""COMPUTED_VALUE"""),"First Choice Group")</f>
        <v>First Choice Group</v>
      </c>
      <c r="S12" s="2" t="str">
        <f>IFERROR(__xludf.DUMMYFUNCTION("""COMPUTED_VALUE"""),"Cannot TA Group (explain below)")</f>
        <v>Cannot TA Group (explain below)</v>
      </c>
      <c r="T12" s="2" t="str">
        <f>IFERROR(__xludf.DUMMYFUNCTION("""COMPUTED_VALUE"""),"Cannot TA Group (explain below)")</f>
        <v>Cannot TA Group (explain below)</v>
      </c>
      <c r="U12" s="2" t="str">
        <f>IFERROR(__xludf.DUMMYFUNCTION("""COMPUTED_VALUE"""),"Cannot TA Group (explain below)")</f>
        <v>Cannot TA Group (explain below)</v>
      </c>
      <c r="V12" s="2" t="str">
        <f>IFERROR(__xludf.DUMMYFUNCTION("""COMPUTED_VALUE"""),"Cannot TA Group (explain below)")</f>
        <v>Cannot TA Group (explain below)</v>
      </c>
      <c r="W12" s="2" t="str">
        <f>IFERROR(__xludf.DUMMYFUNCTION("""COMPUTED_VALUE"""),"Third Choice Group")</f>
        <v>Third Choice Group</v>
      </c>
      <c r="X12" s="2" t="str">
        <f>IFERROR(__xludf.DUMMYFUNCTION("""COMPUTED_VALUE"""),"First Choice Group")</f>
        <v>First Choice Group</v>
      </c>
      <c r="Y12" s="2" t="str">
        <f>IFERROR(__xludf.DUMMYFUNCTION("""COMPUTED_VALUE"""),"Second Choice")</f>
        <v>Second Choice</v>
      </c>
      <c r="Z12" s="2" t="str">
        <f>IFERROR(__xludf.DUMMYFUNCTION("""COMPUTED_VALUE"""),"Cannot TA Group (explain below)")</f>
        <v>Cannot TA Group (explain below)</v>
      </c>
      <c r="AA12" s="2" t="str">
        <f>IFERROR(__xludf.DUMMYFUNCTION("""COMPUTED_VALUE"""),"Cannot TA Group (explain below)")</f>
        <v>Cannot TA Group (explain below)</v>
      </c>
      <c r="AB12" s="2" t="str">
        <f>IFERROR(__xludf.DUMMYFUNCTION("""COMPUTED_VALUE"""),"Cannot TA Group (explain below)")</f>
        <v>Cannot TA Group (explain below)</v>
      </c>
      <c r="AC12" s="2" t="str">
        <f>IFERROR(__xludf.DUMMYFUNCTION("""COMPUTED_VALUE"""),"First Choice Group")</f>
        <v>First Choice Group</v>
      </c>
      <c r="AD12" s="2" t="str">
        <f>IFERROR(__xludf.DUMMYFUNCTION("""COMPUTED_VALUE"""),"Third Choice Group")</f>
        <v>Third Choice Group</v>
      </c>
      <c r="AE12" s="2" t="str">
        <f>IFERROR(__xludf.DUMMYFUNCTION("""COMPUTED_VALUE"""),"Second Choice")</f>
        <v>Second Choice</v>
      </c>
      <c r="AF12" s="2" t="str">
        <f>IFERROR(__xludf.DUMMYFUNCTION("""COMPUTED_VALUE"""),"First Choice Group")</f>
        <v>First Choice Group</v>
      </c>
      <c r="AG12" s="2" t="str">
        <f>IFERROR(__xludf.DUMMYFUNCTION("""COMPUTED_VALUE"""),"First Choice Group")</f>
        <v>First Choice Group</v>
      </c>
      <c r="AH12" s="2" t="str">
        <f>IFERROR(__xludf.DUMMYFUNCTION("""COMPUTED_VALUE"""),"Cannot TA Group (explain below)")</f>
        <v>Cannot TA Group (explain below)</v>
      </c>
      <c r="AI12" s="2" t="str">
        <f>IFERROR(__xludf.DUMMYFUNCTION("""COMPUTED_VALUE"""),"Cannot TA Group (explain below)")</f>
        <v>Cannot TA Group (explain below)</v>
      </c>
      <c r="AJ12" s="2" t="str">
        <f>IFERROR(__xludf.DUMMYFUNCTION("""COMPUTED_VALUE"""),"Cannot TA Group (explain below)")</f>
        <v>Cannot TA Group (explain below)</v>
      </c>
      <c r="AK12" s="2" t="str">
        <f>IFERROR(__xludf.DUMMYFUNCTION("""COMPUTED_VALUE"""),"Cannot TA Group (explain below)")</f>
        <v>Cannot TA Group (explain below)</v>
      </c>
      <c r="AL12" s="2" t="str">
        <f>IFERROR(__xludf.DUMMYFUNCTION("""COMPUTED_VALUE"""),"Second Choice")</f>
        <v>Second Choice</v>
      </c>
      <c r="AM12" s="2" t="str">
        <f>IFERROR(__xludf.DUMMYFUNCTION("""COMPUTED_VALUE"""),"Third Choice Group")</f>
        <v>Third Choice Group</v>
      </c>
      <c r="AN12" s="2" t="str">
        <f>IFERROR(__xludf.DUMMYFUNCTION("""COMPUTED_VALUE"""),"Cannot TA Group (explain below)")</f>
        <v>Cannot TA Group (explain below)</v>
      </c>
      <c r="AO12" s="2" t="str">
        <f>IFERROR(__xludf.DUMMYFUNCTION("""COMPUTED_VALUE"""),"Excellent")</f>
        <v>Excellent</v>
      </c>
      <c r="AP12" s="2" t="str">
        <f>IFERROR(__xludf.DUMMYFUNCTION("""COMPUTED_VALUE"""),"Excellent")</f>
        <v>Excellent</v>
      </c>
      <c r="AQ12" s="2" t="str">
        <f>IFERROR(__xludf.DUMMYFUNCTION("""COMPUTED_VALUE"""),"Satisfactory")</f>
        <v>Satisfactory</v>
      </c>
      <c r="AR12" s="2" t="str">
        <f>IFERROR(__xludf.DUMMYFUNCTION("""COMPUTED_VALUE"""),"Unsatisfactory")</f>
        <v>Unsatisfactory</v>
      </c>
      <c r="AS12" s="2" t="str">
        <f>IFERROR(__xludf.DUMMYFUNCTION("""COMPUTED_VALUE"""),"Strong")</f>
        <v>Strong</v>
      </c>
      <c r="AT12" s="2" t="str">
        <f>IFERROR(__xludf.DUMMYFUNCTION("""COMPUTED_VALUE"""),"Strong")</f>
        <v>Strong</v>
      </c>
      <c r="AU12" s="2" t="str">
        <f>IFERROR(__xludf.DUMMYFUNCTION("""COMPUTED_VALUE"""),"Unsatisfactory")</f>
        <v>Unsatisfactory</v>
      </c>
      <c r="AV12" s="2" t="str">
        <f>IFERROR(__xludf.DUMMYFUNCTION("""COMPUTED_VALUE"""),"Satisfactory")</f>
        <v>Satisfactory</v>
      </c>
      <c r="AW12" s="2" t="str">
        <f>IFERROR(__xludf.DUMMYFUNCTION("""COMPUTED_VALUE"""),"I am not available before noon. Additionally, I am not available Fridays from 12PM-2PM due to my CS2003 requirements.")</f>
        <v>I am not available before noon. Additionally, I am not available Fridays from 12PM-2PM due to my CS2003 requirements.</v>
      </c>
      <c r="AX12" s="2" t="str">
        <f>IFERROR(__xludf.DUMMYFUNCTION("""COMPUTED_VALUE"""),"Any course listed as ""Cannot TA"" is because either I have never taken the course, or I do not believe my knowledge on the subject is satisfactory for the TA role.")</f>
        <v>Any course listed as "Cannot TA" is because either I have never taken the course, or I do not believe my knowledge on the subject is satisfactory for the TA role.</v>
      </c>
      <c r="AY12" s="2" t="str">
        <f>IFERROR(__xludf.DUMMYFUNCTION("""COMPUTED_VALUE"""),"Funding, Teaching experience, Improve public speaking or other skills, Learn a new topic")</f>
        <v>Funding, Teaching experience, Improve public speaking or other skills, Learn a new topic</v>
      </c>
      <c r="AZ12" s="2" t="str">
        <f>IFERROR(__xludf.DUMMYFUNCTION("""COMPUTED_VALUE"""),"Any course listed as ""Cannot TA"" is because either I have never taken the course, or I do not believe my knowledge on the subject is satisfactory for the TA role.")</f>
        <v>Any course listed as "Cannot TA" is because either I have never taken the course, or I do not believe my knowledge on the subject is satisfactory for the TA role.</v>
      </c>
      <c r="BA12" s="2"/>
      <c r="BB12" s="2"/>
      <c r="BC12" s="2"/>
      <c r="BD12" s="2"/>
      <c r="BE12" s="2"/>
      <c r="BF12" s="2"/>
    </row>
    <row r="13">
      <c r="A13" s="3">
        <f>IFERROR(__xludf.DUMMYFUNCTION("""COMPUTED_VALUE"""),46246.91447701389)</f>
        <v>46246.91448</v>
      </c>
      <c r="B13" s="2" t="str">
        <f>IFERROR(__xludf.DUMMYFUNCTION("""COMPUTED_VALUE"""),"L")</f>
        <v>L</v>
      </c>
      <c r="C13" s="2" t="str">
        <f>IFERROR(__xludf.DUMMYFUNCTION("""COMPUTED_VALUE"""),"J")</f>
        <v>J</v>
      </c>
      <c r="D13" s="2" t="str">
        <f>IFERROR(__xludf.DUMMYFUNCTION("""COMPUTED_VALUE"""),"l@pitt.edu")</f>
        <v>l@pitt.edu</v>
      </c>
      <c r="E13" s="2" t="str">
        <f>IFERROR(__xludf.DUMMYFUNCTION("""COMPUTED_VALUE"""),"Cannot TA Group (explain below)")</f>
        <v>Cannot TA Group (explain below)</v>
      </c>
      <c r="F13" s="2" t="str">
        <f>IFERROR(__xludf.DUMMYFUNCTION("""COMPUTED_VALUE"""),"Cannot TA Group (explain below)")</f>
        <v>Cannot TA Group (explain below)</v>
      </c>
      <c r="G13" s="2" t="str">
        <f>IFERROR(__xludf.DUMMYFUNCTION("""COMPUTED_VALUE"""),"Cannot TA Group (explain below)")</f>
        <v>Cannot TA Group (explain below)</v>
      </c>
      <c r="H13" s="2" t="str">
        <f>IFERROR(__xludf.DUMMYFUNCTION("""COMPUTED_VALUE"""),"Cannot TA Group (explain below)")</f>
        <v>Cannot TA Group (explain below)</v>
      </c>
      <c r="I13" s="2" t="str">
        <f>IFERROR(__xludf.DUMMYFUNCTION("""COMPUTED_VALUE"""),"Cannot TA Group (explain below)")</f>
        <v>Cannot TA Group (explain below)</v>
      </c>
      <c r="J13" s="2" t="str">
        <f>IFERROR(__xludf.DUMMYFUNCTION("""COMPUTED_VALUE"""),"Cannot TA Group (explain below)")</f>
        <v>Cannot TA Group (explain below)</v>
      </c>
      <c r="K13" s="2" t="str">
        <f>IFERROR(__xludf.DUMMYFUNCTION("""COMPUTED_VALUE"""),"Cannot TA Group (explain below)")</f>
        <v>Cannot TA Group (explain below)</v>
      </c>
      <c r="L13" s="2" t="str">
        <f>IFERROR(__xludf.DUMMYFUNCTION("""COMPUTED_VALUE"""),"Cannot TA Group (explain below)")</f>
        <v>Cannot TA Group (explain below)</v>
      </c>
      <c r="M13" s="2" t="str">
        <f>IFERROR(__xludf.DUMMYFUNCTION("""COMPUTED_VALUE"""),"Cannot TA Group (explain below)")</f>
        <v>Cannot TA Group (explain below)</v>
      </c>
      <c r="N13" s="2" t="str">
        <f>IFERROR(__xludf.DUMMYFUNCTION("""COMPUTED_VALUE"""),"Cannot TA Group (explain below)")</f>
        <v>Cannot TA Group (explain below)</v>
      </c>
      <c r="O13" s="2" t="str">
        <f>IFERROR(__xludf.DUMMYFUNCTION("""COMPUTED_VALUE"""),"Cannot TA Group (explain below)")</f>
        <v>Cannot TA Group (explain below)</v>
      </c>
      <c r="P13" s="2" t="str">
        <f>IFERROR(__xludf.DUMMYFUNCTION("""COMPUTED_VALUE"""),"Cannot TA Group (explain below)")</f>
        <v>Cannot TA Group (explain below)</v>
      </c>
      <c r="Q13" s="2" t="str">
        <f>IFERROR(__xludf.DUMMYFUNCTION("""COMPUTED_VALUE"""),"Cannot TA Group (explain below)")</f>
        <v>Cannot TA Group (explain below)</v>
      </c>
      <c r="R13" s="2" t="str">
        <f>IFERROR(__xludf.DUMMYFUNCTION("""COMPUTED_VALUE"""),"Cannot TA Group (explain below)")</f>
        <v>Cannot TA Group (explain below)</v>
      </c>
      <c r="S13" s="2" t="str">
        <f>IFERROR(__xludf.DUMMYFUNCTION("""COMPUTED_VALUE"""),"Cannot TA Group (explain below)")</f>
        <v>Cannot TA Group (explain below)</v>
      </c>
      <c r="T13" s="2" t="str">
        <f>IFERROR(__xludf.DUMMYFUNCTION("""COMPUTED_VALUE"""),"Cannot TA Group (explain below)")</f>
        <v>Cannot TA Group (explain below)</v>
      </c>
      <c r="U13" s="2" t="str">
        <f>IFERROR(__xludf.DUMMYFUNCTION("""COMPUTED_VALUE"""),"Cannot TA Group (explain below)")</f>
        <v>Cannot TA Group (explain below)</v>
      </c>
      <c r="V13" s="2" t="str">
        <f>IFERROR(__xludf.DUMMYFUNCTION("""COMPUTED_VALUE"""),"Third Choice Group")</f>
        <v>Third Choice Group</v>
      </c>
      <c r="W13" s="2" t="str">
        <f>IFERROR(__xludf.DUMMYFUNCTION("""COMPUTED_VALUE"""),"Cannot TA Group (explain below)")</f>
        <v>Cannot TA Group (explain below)</v>
      </c>
      <c r="X13" s="2" t="str">
        <f>IFERROR(__xludf.DUMMYFUNCTION("""COMPUTED_VALUE"""),"Cannot TA Group (explain below)")</f>
        <v>Cannot TA Group (explain below)</v>
      </c>
      <c r="Y13" s="2" t="str">
        <f>IFERROR(__xludf.DUMMYFUNCTION("""COMPUTED_VALUE"""),"Cannot TA Group (explain below)")</f>
        <v>Cannot TA Group (explain below)</v>
      </c>
      <c r="Z13" s="2" t="str">
        <f>IFERROR(__xludf.DUMMYFUNCTION("""COMPUTED_VALUE"""),"Cannot TA Group (explain below)")</f>
        <v>Cannot TA Group (explain below)</v>
      </c>
      <c r="AA13" s="2" t="str">
        <f>IFERROR(__xludf.DUMMYFUNCTION("""COMPUTED_VALUE"""),"Cannot TA Group (explain below)")</f>
        <v>Cannot TA Group (explain below)</v>
      </c>
      <c r="AB13" s="2" t="str">
        <f>IFERROR(__xludf.DUMMYFUNCTION("""COMPUTED_VALUE"""),"Cannot TA Group (explain below)")</f>
        <v>Cannot TA Group (explain below)</v>
      </c>
      <c r="AC13" s="2" t="str">
        <f>IFERROR(__xludf.DUMMYFUNCTION("""COMPUTED_VALUE"""),"Cannot TA Group (explain below)")</f>
        <v>Cannot TA Group (explain below)</v>
      </c>
      <c r="AD13" s="2" t="str">
        <f>IFERROR(__xludf.DUMMYFUNCTION("""COMPUTED_VALUE"""),"Cannot TA Group (explain below)")</f>
        <v>Cannot TA Group (explain below)</v>
      </c>
      <c r="AE13" s="2" t="str">
        <f>IFERROR(__xludf.DUMMYFUNCTION("""COMPUTED_VALUE"""),"Second Choice")</f>
        <v>Second Choice</v>
      </c>
      <c r="AF13" s="2" t="str">
        <f>IFERROR(__xludf.DUMMYFUNCTION("""COMPUTED_VALUE"""),"Cannot TA Group (explain below)")</f>
        <v>Cannot TA Group (explain below)</v>
      </c>
      <c r="AG13" s="2" t="str">
        <f>IFERROR(__xludf.DUMMYFUNCTION("""COMPUTED_VALUE"""),"Cannot TA Group (explain below)")</f>
        <v>Cannot TA Group (explain below)</v>
      </c>
      <c r="AH13" s="2" t="str">
        <f>IFERROR(__xludf.DUMMYFUNCTION("""COMPUTED_VALUE"""),"Cannot TA Group (explain below)")</f>
        <v>Cannot TA Group (explain below)</v>
      </c>
      <c r="AI13" s="2" t="str">
        <f>IFERROR(__xludf.DUMMYFUNCTION("""COMPUTED_VALUE"""),"Cannot TA Group (explain below)")</f>
        <v>Cannot TA Group (explain below)</v>
      </c>
      <c r="AJ13" s="2" t="str">
        <f>IFERROR(__xludf.DUMMYFUNCTION("""COMPUTED_VALUE"""),"Cannot TA Group (explain below)")</f>
        <v>Cannot TA Group (explain below)</v>
      </c>
      <c r="AK13" s="2" t="str">
        <f>IFERROR(__xludf.DUMMYFUNCTION("""COMPUTED_VALUE"""),"Second Choice")</f>
        <v>Second Choice</v>
      </c>
      <c r="AL13" s="2" t="str">
        <f>IFERROR(__xludf.DUMMYFUNCTION("""COMPUTED_VALUE"""),"First Choice Group")</f>
        <v>First Choice Group</v>
      </c>
      <c r="AM13" s="2" t="str">
        <f>IFERROR(__xludf.DUMMYFUNCTION("""COMPUTED_VALUE"""),"Third Choice Group")</f>
        <v>Third Choice Group</v>
      </c>
      <c r="AN13" s="2" t="str">
        <f>IFERROR(__xludf.DUMMYFUNCTION("""COMPUTED_VALUE"""),"Cannot TA Group (explain below)")</f>
        <v>Cannot TA Group (explain below)</v>
      </c>
      <c r="AO13" s="2" t="str">
        <f>IFERROR(__xludf.DUMMYFUNCTION("""COMPUTED_VALUE"""),"Unsatisfactory")</f>
        <v>Unsatisfactory</v>
      </c>
      <c r="AP13" s="2" t="str">
        <f>IFERROR(__xludf.DUMMYFUNCTION("""COMPUTED_VALUE"""),"Unsatisfactory")</f>
        <v>Unsatisfactory</v>
      </c>
      <c r="AQ13" s="2" t="str">
        <f>IFERROR(__xludf.DUMMYFUNCTION("""COMPUTED_VALUE"""),"Unsatisfactory")</f>
        <v>Unsatisfactory</v>
      </c>
      <c r="AR13" s="2" t="str">
        <f>IFERROR(__xludf.DUMMYFUNCTION("""COMPUTED_VALUE"""),"Unsatisfactory")</f>
        <v>Unsatisfactory</v>
      </c>
      <c r="AS13" s="2" t="str">
        <f>IFERROR(__xludf.DUMMYFUNCTION("""COMPUTED_VALUE"""),"Unsatisfactory")</f>
        <v>Unsatisfactory</v>
      </c>
      <c r="AT13" s="2" t="str">
        <f>IFERROR(__xludf.DUMMYFUNCTION("""COMPUTED_VALUE"""),"Excellent")</f>
        <v>Excellent</v>
      </c>
      <c r="AU13" s="2" t="str">
        <f>IFERROR(__xludf.DUMMYFUNCTION("""COMPUTED_VALUE"""),"Unsatisfactory")</f>
        <v>Unsatisfactory</v>
      </c>
      <c r="AV13" s="2" t="str">
        <f>IFERROR(__xludf.DUMMYFUNCTION("""COMPUTED_VALUE"""),"Unsatisfactory")</f>
        <v>Unsatisfactory</v>
      </c>
      <c r="AW13" s="2" t="str">
        <f>IFERROR(__xludf.DUMMYFUNCTION("""COMPUTED_VALUE"""),"N/A")</f>
        <v>N/A</v>
      </c>
      <c r="AX13" s="2" t="str">
        <f>IFERROR(__xludf.DUMMYFUNCTION("""COMPUTED_VALUE"""),"N/A")</f>
        <v>N/A</v>
      </c>
      <c r="AY13" s="2" t="str">
        <f>IFERROR(__xludf.DUMMYFUNCTION("""COMPUTED_VALUE"""),"Funding")</f>
        <v>Funding</v>
      </c>
      <c r="AZ13" s="2" t="str">
        <f>IFERROR(__xludf.DUMMYFUNCTION("""COMPUTED_VALUE"""),"Hi, my research focuses on NLP and ML, so related courses may fit my background better. Thank you!")</f>
        <v>Hi, my research focuses on NLP and ML, so related courses may fit my background better. Thank you!</v>
      </c>
      <c r="BA13" s="2"/>
      <c r="BB13" s="2"/>
      <c r="BC13" s="2"/>
      <c r="BD13" s="2"/>
      <c r="BE13" s="2"/>
      <c r="BF13" s="2"/>
    </row>
    <row r="14">
      <c r="A14" s="3">
        <f>IFERROR(__xludf.DUMMYFUNCTION("""COMPUTED_VALUE"""),46247.01239484954)</f>
        <v>46247.01239</v>
      </c>
      <c r="B14" s="2" t="str">
        <f>IFERROR(__xludf.DUMMYFUNCTION("""COMPUTED_VALUE"""),"M")</f>
        <v>M</v>
      </c>
      <c r="C14" s="2" t="str">
        <f>IFERROR(__xludf.DUMMYFUNCTION("""COMPUTED_VALUE"""),"K")</f>
        <v>K</v>
      </c>
      <c r="D14" s="2" t="str">
        <f>IFERROR(__xludf.DUMMYFUNCTION("""COMPUTED_VALUE"""),"m@pitt.edu")</f>
        <v>m@pitt.edu</v>
      </c>
      <c r="E14" s="2" t="str">
        <f>IFERROR(__xludf.DUMMYFUNCTION("""COMPUTED_VALUE"""),"Second Choice")</f>
        <v>Second Choice</v>
      </c>
      <c r="F14" s="2" t="str">
        <f>IFERROR(__xludf.DUMMYFUNCTION("""COMPUTED_VALUE"""),"Cannot TA Group (explain below)")</f>
        <v>Cannot TA Group (explain below)</v>
      </c>
      <c r="G14" s="2" t="str">
        <f>IFERROR(__xludf.DUMMYFUNCTION("""COMPUTED_VALUE"""),"First Choice Group")</f>
        <v>First Choice Group</v>
      </c>
      <c r="H14" s="2" t="str">
        <f>IFERROR(__xludf.DUMMYFUNCTION("""COMPUTED_VALUE"""),"Third Choice Group")</f>
        <v>Third Choice Group</v>
      </c>
      <c r="I14" s="2" t="str">
        <f>IFERROR(__xludf.DUMMYFUNCTION("""COMPUTED_VALUE"""),"First Choice Group")</f>
        <v>First Choice Group</v>
      </c>
      <c r="J14" s="2" t="str">
        <f>IFERROR(__xludf.DUMMYFUNCTION("""COMPUTED_VALUE"""),"First Choice Group")</f>
        <v>First Choice Group</v>
      </c>
      <c r="K14" s="2" t="str">
        <f>IFERROR(__xludf.DUMMYFUNCTION("""COMPUTED_VALUE"""),"Third Choice Group")</f>
        <v>Third Choice Group</v>
      </c>
      <c r="L14" s="2" t="str">
        <f>IFERROR(__xludf.DUMMYFUNCTION("""COMPUTED_VALUE"""),"Cannot TA Group (explain below)")</f>
        <v>Cannot TA Group (explain below)</v>
      </c>
      <c r="M14" s="2" t="str">
        <f>IFERROR(__xludf.DUMMYFUNCTION("""COMPUTED_VALUE"""),"First Choice Group")</f>
        <v>First Choice Group</v>
      </c>
      <c r="N14" s="2" t="str">
        <f>IFERROR(__xludf.DUMMYFUNCTION("""COMPUTED_VALUE"""),"Third Choice Group")</f>
        <v>Third Choice Group</v>
      </c>
      <c r="O14" s="2" t="str">
        <f>IFERROR(__xludf.DUMMYFUNCTION("""COMPUTED_VALUE"""),"Third Choice Group")</f>
        <v>Third Choice Group</v>
      </c>
      <c r="P14" s="2" t="str">
        <f>IFERROR(__xludf.DUMMYFUNCTION("""COMPUTED_VALUE"""),"Third Choice Group")</f>
        <v>Third Choice Group</v>
      </c>
      <c r="Q14" s="2" t="str">
        <f>IFERROR(__xludf.DUMMYFUNCTION("""COMPUTED_VALUE"""),"Cannot TA Group (explain below)")</f>
        <v>Cannot TA Group (explain below)</v>
      </c>
      <c r="R14" s="2" t="str">
        <f>IFERROR(__xludf.DUMMYFUNCTION("""COMPUTED_VALUE"""),"Third Choice Group")</f>
        <v>Third Choice Group</v>
      </c>
      <c r="S14" s="2" t="str">
        <f>IFERROR(__xludf.DUMMYFUNCTION("""COMPUTED_VALUE"""),"Third Choice Group")</f>
        <v>Third Choice Group</v>
      </c>
      <c r="T14" s="2" t="str">
        <f>IFERROR(__xludf.DUMMYFUNCTION("""COMPUTED_VALUE"""),"Third Choice Group")</f>
        <v>Third Choice Group</v>
      </c>
      <c r="U14" s="2" t="str">
        <f>IFERROR(__xludf.DUMMYFUNCTION("""COMPUTED_VALUE"""),"Third Choice Group")</f>
        <v>Third Choice Group</v>
      </c>
      <c r="V14" s="2" t="str">
        <f>IFERROR(__xludf.DUMMYFUNCTION("""COMPUTED_VALUE"""),"Cannot TA Group (explain below)")</f>
        <v>Cannot TA Group (explain below)</v>
      </c>
      <c r="W14" s="2" t="str">
        <f>IFERROR(__xludf.DUMMYFUNCTION("""COMPUTED_VALUE"""),"Cannot TA Group (explain below)")</f>
        <v>Cannot TA Group (explain below)</v>
      </c>
      <c r="X14" s="2" t="str">
        <f>IFERROR(__xludf.DUMMYFUNCTION("""COMPUTED_VALUE"""),"Second Choice")</f>
        <v>Second Choice</v>
      </c>
      <c r="Y14" s="2" t="str">
        <f>IFERROR(__xludf.DUMMYFUNCTION("""COMPUTED_VALUE"""),"Cannot TA Group (explain below)")</f>
        <v>Cannot TA Group (explain below)</v>
      </c>
      <c r="Z14" s="2" t="str">
        <f>IFERROR(__xludf.DUMMYFUNCTION("""COMPUTED_VALUE"""),"Third Choice Group")</f>
        <v>Third Choice Group</v>
      </c>
      <c r="AA14" s="2" t="str">
        <f>IFERROR(__xludf.DUMMYFUNCTION("""COMPUTED_VALUE"""),"Cannot TA Group (explain below)")</f>
        <v>Cannot TA Group (explain below)</v>
      </c>
      <c r="AB14" s="2" t="str">
        <f>IFERROR(__xludf.DUMMYFUNCTION("""COMPUTED_VALUE"""),"Cannot TA Group (explain below)")</f>
        <v>Cannot TA Group (explain below)</v>
      </c>
      <c r="AC14" s="2" t="str">
        <f>IFERROR(__xludf.DUMMYFUNCTION("""COMPUTED_VALUE"""),"Cannot TA Group (explain below)")</f>
        <v>Cannot TA Group (explain below)</v>
      </c>
      <c r="AD14" s="2" t="str">
        <f>IFERROR(__xludf.DUMMYFUNCTION("""COMPUTED_VALUE"""),"Cannot TA Group (explain below)")</f>
        <v>Cannot TA Group (explain below)</v>
      </c>
      <c r="AE14" s="2" t="str">
        <f>IFERROR(__xludf.DUMMYFUNCTION("""COMPUTED_VALUE"""),"Cannot TA Group (explain below)")</f>
        <v>Cannot TA Group (explain below)</v>
      </c>
      <c r="AF14" s="2" t="str">
        <f>IFERROR(__xludf.DUMMYFUNCTION("""COMPUTED_VALUE"""),"Third Choice Group")</f>
        <v>Third Choice Group</v>
      </c>
      <c r="AG14" s="2" t="str">
        <f>IFERROR(__xludf.DUMMYFUNCTION("""COMPUTED_VALUE"""),"Cannot TA Group (explain below)")</f>
        <v>Cannot TA Group (explain below)</v>
      </c>
      <c r="AH14" s="2" t="str">
        <f>IFERROR(__xludf.DUMMYFUNCTION("""COMPUTED_VALUE"""),"First Choice Group")</f>
        <v>First Choice Group</v>
      </c>
      <c r="AI14" s="2" t="str">
        <f>IFERROR(__xludf.DUMMYFUNCTION("""COMPUTED_VALUE"""),"Third Choice Group")</f>
        <v>Third Choice Group</v>
      </c>
      <c r="AJ14" s="2" t="str">
        <f>IFERROR(__xludf.DUMMYFUNCTION("""COMPUTED_VALUE"""),"Cannot TA Group (explain below)")</f>
        <v>Cannot TA Group (explain below)</v>
      </c>
      <c r="AK14" s="2" t="str">
        <f>IFERROR(__xludf.DUMMYFUNCTION("""COMPUTED_VALUE"""),"Cannot TA Group (explain below)")</f>
        <v>Cannot TA Group (explain below)</v>
      </c>
      <c r="AL14" s="2" t="str">
        <f>IFERROR(__xludf.DUMMYFUNCTION("""COMPUTED_VALUE"""),"Cannot TA Group (explain below)")</f>
        <v>Cannot TA Group (explain below)</v>
      </c>
      <c r="AM14" s="2" t="str">
        <f>IFERROR(__xludf.DUMMYFUNCTION("""COMPUTED_VALUE"""),"Cannot TA Group (explain below)")</f>
        <v>Cannot TA Group (explain below)</v>
      </c>
      <c r="AN14" s="2" t="str">
        <f>IFERROR(__xludf.DUMMYFUNCTION("""COMPUTED_VALUE"""),"Cannot TA Group (explain below)")</f>
        <v>Cannot TA Group (explain below)</v>
      </c>
      <c r="AO14" s="2" t="str">
        <f>IFERROR(__xludf.DUMMYFUNCTION("""COMPUTED_VALUE"""),"Excellent")</f>
        <v>Excellent</v>
      </c>
      <c r="AP14" s="2" t="str">
        <f>IFERROR(__xludf.DUMMYFUNCTION("""COMPUTED_VALUE"""),"Strong")</f>
        <v>Strong</v>
      </c>
      <c r="AQ14" s="2" t="str">
        <f>IFERROR(__xludf.DUMMYFUNCTION("""COMPUTED_VALUE"""),"Excellent")</f>
        <v>Excellent</v>
      </c>
      <c r="AR14" s="2" t="str">
        <f>IFERROR(__xludf.DUMMYFUNCTION("""COMPUTED_VALUE"""),"Strong")</f>
        <v>Strong</v>
      </c>
      <c r="AS14" s="2" t="str">
        <f>IFERROR(__xludf.DUMMYFUNCTION("""COMPUTED_VALUE"""),"Excellent")</f>
        <v>Excellent</v>
      </c>
      <c r="AT14" s="2" t="str">
        <f>IFERROR(__xludf.DUMMYFUNCTION("""COMPUTED_VALUE"""),"Satisfactory")</f>
        <v>Satisfactory</v>
      </c>
      <c r="AU14" s="2" t="str">
        <f>IFERROR(__xludf.DUMMYFUNCTION("""COMPUTED_VALUE"""),"Unsatisfactory")</f>
        <v>Unsatisfactory</v>
      </c>
      <c r="AV14" s="2" t="str">
        <f>IFERROR(__xludf.DUMMYFUNCTION("""COMPUTED_VALUE"""),"Satisfactory")</f>
        <v>Satisfactory</v>
      </c>
      <c r="AW14" s="2" t="str">
        <f>IFERROR(__xludf.DUMMYFUNCTION("""COMPUTED_VALUE"""),"Monday: 9:00 AM - 5:00 PM
Tuesday: 9:00 AM - 5:00 PM
Wednesday: 9:00 AM - 5:00 PM
Thursday: Available 10:00 AM - 3:00 PM and after 5:00 PM (unavailable 9:00 AM - 10:00 AM and 3:00 PM - 5:00 PM)
Friday: Not available")</f>
        <v>Monday: 9:00 AM - 5:00 PM
Tuesday: 9:00 AM - 5:00 PM
Wednesday: 9:00 AM - 5:00 PM
Thursday: Available 10:00 AM - 3:00 PM and after 5:00 PM (unavailable 9:00 AM - 10:00 AM and 3:00 PM - 5:00 PM)
Friday: Not available</v>
      </c>
      <c r="AX14" s="2" t="str">
        <f>IFERROR(__xludf.DUMMYFUNCTION("""COMPUTED_VALUE"""),"I would prefer to serve as a grader for most courses, especially CS 0447, as I have been a TA for this course several times and am very familiar with the course material and grading expectations")</f>
        <v>I would prefer to serve as a grader for most courses, especially CS 0447, as I have been a TA for this course several times and am very familiar with the course material and grading expectations</v>
      </c>
      <c r="AY14" s="2" t="str">
        <f>IFERROR(__xludf.DUMMYFUNCTION("""COMPUTED_VALUE"""),"Funding")</f>
        <v>Funding</v>
      </c>
      <c r="AZ14" s="2" t="str">
        <f>IFERROR(__xludf.DUMMYFUNCTION("""COMPUTED_VALUE"""),"I will be defending my proposal this semester, so my schedule is particularly busy. Because of this, I strongly prefer a grader position rather than a TA position. I would be most effective grading a course that I already have experience with, especially "&amp;"one I have supported before. Since I work from home most of the time and have significant research commitments, a grader role would be the best fit for me and would allow me to contribute effectively while balancing my academic responsibilities.")</f>
        <v>I will be defending my proposal this semester, so my schedule is particularly busy. Because of this, I strongly prefer a grader position rather than a TA position. I would be most effective grading a course that I already have experience with, especially one I have supported before. Since I work from home most of the time and have significant research commitments, a grader role would be the best fit for me and would allow me to contribute effectively while balancing my academic responsibilities.</v>
      </c>
      <c r="BA14" s="2"/>
      <c r="BB14" s="2"/>
      <c r="BC14" s="2"/>
      <c r="BD14" s="2"/>
      <c r="BE14" s="2"/>
      <c r="BF14" s="2"/>
    </row>
    <row r="15">
      <c r="A15" s="3">
        <f>IFERROR(__xludf.DUMMYFUNCTION("""COMPUTED_VALUE"""),46247.53354724537)</f>
        <v>46247.53355</v>
      </c>
      <c r="B15" s="2" t="str">
        <f>IFERROR(__xludf.DUMMYFUNCTION("""COMPUTED_VALUE"""),"N")</f>
        <v>N</v>
      </c>
      <c r="C15" s="2" t="str">
        <f>IFERROR(__xludf.DUMMYFUNCTION("""COMPUTED_VALUE"""),"L")</f>
        <v>L</v>
      </c>
      <c r="D15" s="2" t="str">
        <f>IFERROR(__xludf.DUMMYFUNCTION("""COMPUTED_VALUE"""),"n@pitt.edu")</f>
        <v>n@pitt.edu</v>
      </c>
      <c r="E15" s="2" t="str">
        <f>IFERROR(__xludf.DUMMYFUNCTION("""COMPUTED_VALUE"""),"First Choice Group")</f>
        <v>First Choice Group</v>
      </c>
      <c r="F15" s="2" t="str">
        <f>IFERROR(__xludf.DUMMYFUNCTION("""COMPUTED_VALUE"""),"First Choice Group")</f>
        <v>First Choice Group</v>
      </c>
      <c r="G15" s="2" t="str">
        <f>IFERROR(__xludf.DUMMYFUNCTION("""COMPUTED_VALUE"""),"First Choice Group")</f>
        <v>First Choice Group</v>
      </c>
      <c r="H15" s="2" t="str">
        <f>IFERROR(__xludf.DUMMYFUNCTION("""COMPUTED_VALUE"""),"First Choice Group")</f>
        <v>First Choice Group</v>
      </c>
      <c r="I15" s="2" t="str">
        <f>IFERROR(__xludf.DUMMYFUNCTION("""COMPUTED_VALUE"""),"First Choice Group")</f>
        <v>First Choice Group</v>
      </c>
      <c r="J15" s="2" t="str">
        <f>IFERROR(__xludf.DUMMYFUNCTION("""COMPUTED_VALUE"""),"First Choice Group")</f>
        <v>First Choice Group</v>
      </c>
      <c r="K15" s="2" t="str">
        <f>IFERROR(__xludf.DUMMYFUNCTION("""COMPUTED_VALUE"""),"First Choice Group")</f>
        <v>First Choice Group</v>
      </c>
      <c r="L15" s="2" t="str">
        <f>IFERROR(__xludf.DUMMYFUNCTION("""COMPUTED_VALUE"""),"First Choice Group")</f>
        <v>First Choice Group</v>
      </c>
      <c r="M15" s="2" t="str">
        <f>IFERROR(__xludf.DUMMYFUNCTION("""COMPUTED_VALUE"""),"Second Choice")</f>
        <v>Second Choice</v>
      </c>
      <c r="N15" s="2" t="str">
        <f>IFERROR(__xludf.DUMMYFUNCTION("""COMPUTED_VALUE"""),"Third Choice Group")</f>
        <v>Third Choice Group</v>
      </c>
      <c r="O15" s="2" t="str">
        <f>IFERROR(__xludf.DUMMYFUNCTION("""COMPUTED_VALUE"""),"Third Choice Group")</f>
        <v>Third Choice Group</v>
      </c>
      <c r="P15" s="2" t="str">
        <f>IFERROR(__xludf.DUMMYFUNCTION("""COMPUTED_VALUE"""),"First Choice Group")</f>
        <v>First Choice Group</v>
      </c>
      <c r="Q15" s="2" t="str">
        <f>IFERROR(__xludf.DUMMYFUNCTION("""COMPUTED_VALUE"""),"First Choice Group")</f>
        <v>First Choice Group</v>
      </c>
      <c r="R15" s="2" t="str">
        <f>IFERROR(__xludf.DUMMYFUNCTION("""COMPUTED_VALUE"""),"Second Choice")</f>
        <v>Second Choice</v>
      </c>
      <c r="S15" s="2" t="str">
        <f>IFERROR(__xludf.DUMMYFUNCTION("""COMPUTED_VALUE"""),"Cannot TA Group (explain below)")</f>
        <v>Cannot TA Group (explain below)</v>
      </c>
      <c r="T15" s="2" t="str">
        <f>IFERROR(__xludf.DUMMYFUNCTION("""COMPUTED_VALUE"""),"Third Choice Group")</f>
        <v>Third Choice Group</v>
      </c>
      <c r="U15" s="2" t="str">
        <f>IFERROR(__xludf.DUMMYFUNCTION("""COMPUTED_VALUE"""),"Cannot TA Group (explain below)")</f>
        <v>Cannot TA Group (explain below)</v>
      </c>
      <c r="V15" s="2" t="str">
        <f>IFERROR(__xludf.DUMMYFUNCTION("""COMPUTED_VALUE"""),"Second Choice")</f>
        <v>Second Choice</v>
      </c>
      <c r="W15" s="2" t="str">
        <f>IFERROR(__xludf.DUMMYFUNCTION("""COMPUTED_VALUE"""),"Second Choice")</f>
        <v>Second Choice</v>
      </c>
      <c r="X15" s="2" t="str">
        <f>IFERROR(__xludf.DUMMYFUNCTION("""COMPUTED_VALUE"""),"Second Choice")</f>
        <v>Second Choice</v>
      </c>
      <c r="Y15" s="2" t="str">
        <f>IFERROR(__xludf.DUMMYFUNCTION("""COMPUTED_VALUE"""),"Third Choice Group")</f>
        <v>Third Choice Group</v>
      </c>
      <c r="Z15" s="2" t="str">
        <f>IFERROR(__xludf.DUMMYFUNCTION("""COMPUTED_VALUE"""),"Second Choice")</f>
        <v>Second Choice</v>
      </c>
      <c r="AA15" s="2" t="str">
        <f>IFERROR(__xludf.DUMMYFUNCTION("""COMPUTED_VALUE"""),"Second Choice")</f>
        <v>Second Choice</v>
      </c>
      <c r="AB15" s="2" t="str">
        <f>IFERROR(__xludf.DUMMYFUNCTION("""COMPUTED_VALUE"""),"Third Choice Group")</f>
        <v>Third Choice Group</v>
      </c>
      <c r="AC15" s="2" t="str">
        <f>IFERROR(__xludf.DUMMYFUNCTION("""COMPUTED_VALUE"""),"Second Choice")</f>
        <v>Second Choice</v>
      </c>
      <c r="AD15" s="2" t="str">
        <f>IFERROR(__xludf.DUMMYFUNCTION("""COMPUTED_VALUE"""),"Cannot TA Group (explain below)")</f>
        <v>Cannot TA Group (explain below)</v>
      </c>
      <c r="AE15" s="2" t="str">
        <f>IFERROR(__xludf.DUMMYFUNCTION("""COMPUTED_VALUE"""),"Third Choice Group")</f>
        <v>Third Choice Group</v>
      </c>
      <c r="AF15" s="2" t="str">
        <f>IFERROR(__xludf.DUMMYFUNCTION("""COMPUTED_VALUE"""),"Second Choice")</f>
        <v>Second Choice</v>
      </c>
      <c r="AG15" s="2" t="str">
        <f>IFERROR(__xludf.DUMMYFUNCTION("""COMPUTED_VALUE"""),"Second Choice")</f>
        <v>Second Choice</v>
      </c>
      <c r="AH15" s="2" t="str">
        <f>IFERROR(__xludf.DUMMYFUNCTION("""COMPUTED_VALUE"""),"Second Choice")</f>
        <v>Second Choice</v>
      </c>
      <c r="AI15" s="2" t="str">
        <f>IFERROR(__xludf.DUMMYFUNCTION("""COMPUTED_VALUE"""),"Second Choice")</f>
        <v>Second Choice</v>
      </c>
      <c r="AJ15" s="2" t="str">
        <f>IFERROR(__xludf.DUMMYFUNCTION("""COMPUTED_VALUE"""),"Cannot TA Group (explain below)")</f>
        <v>Cannot TA Group (explain below)</v>
      </c>
      <c r="AK15" s="2" t="str">
        <f>IFERROR(__xludf.DUMMYFUNCTION("""COMPUTED_VALUE"""),"Second Choice")</f>
        <v>Second Choice</v>
      </c>
      <c r="AL15" s="2" t="str">
        <f>IFERROR(__xludf.DUMMYFUNCTION("""COMPUTED_VALUE"""),"Second Choice")</f>
        <v>Second Choice</v>
      </c>
      <c r="AM15" s="2" t="str">
        <f>IFERROR(__xludf.DUMMYFUNCTION("""COMPUTED_VALUE"""),"Second Choice")</f>
        <v>Second Choice</v>
      </c>
      <c r="AN15" s="2" t="str">
        <f>IFERROR(__xludf.DUMMYFUNCTION("""COMPUTED_VALUE"""),"Cannot TA Group (explain below)")</f>
        <v>Cannot TA Group (explain below)</v>
      </c>
      <c r="AO15" s="2" t="str">
        <f>IFERROR(__xludf.DUMMYFUNCTION("""COMPUTED_VALUE"""),"Excellent")</f>
        <v>Excellent</v>
      </c>
      <c r="AP15" s="2" t="str">
        <f>IFERROR(__xludf.DUMMYFUNCTION("""COMPUTED_VALUE"""),"Strong")</f>
        <v>Strong</v>
      </c>
      <c r="AQ15" s="2" t="str">
        <f>IFERROR(__xludf.DUMMYFUNCTION("""COMPUTED_VALUE"""),"Satisfactory")</f>
        <v>Satisfactory</v>
      </c>
      <c r="AR15" s="2" t="str">
        <f>IFERROR(__xludf.DUMMYFUNCTION("""COMPUTED_VALUE"""),"Excellent")</f>
        <v>Excellent</v>
      </c>
      <c r="AS15" s="2" t="str">
        <f>IFERROR(__xludf.DUMMYFUNCTION("""COMPUTED_VALUE"""),"Excellent")</f>
        <v>Excellent</v>
      </c>
      <c r="AT15" s="2" t="str">
        <f>IFERROR(__xludf.DUMMYFUNCTION("""COMPUTED_VALUE"""),"Satisfactory")</f>
        <v>Satisfactory</v>
      </c>
      <c r="AU15" s="2" t="str">
        <f>IFERROR(__xludf.DUMMYFUNCTION("""COMPUTED_VALUE"""),"Unsatisfactory")</f>
        <v>Unsatisfactory</v>
      </c>
      <c r="AV15" s="2" t="str">
        <f>IFERROR(__xludf.DUMMYFUNCTION("""COMPUTED_VALUE"""),"Satisfactory")</f>
        <v>Satisfactory</v>
      </c>
      <c r="AW15" s="2" t="str">
        <f>IFERROR(__xludf.DUMMYFUNCTION("""COMPUTED_VALUE"""),"Wednesday afternoons – group meeting
Friday mornings – group meeting
Friday afternoons – CS 2003 class")</f>
        <v>Wednesday afternoons – group meeting
Friday mornings – group meeting
Friday afternoons – CS 2003 class</v>
      </c>
      <c r="AX15" s="2" t="str">
        <f>IFERROR(__xludf.DUMMYFUNCTION("""COMPUTED_VALUE"""),"N/A")</f>
        <v>N/A</v>
      </c>
      <c r="AY15" s="2" t="str">
        <f>IFERROR(__xludf.DUMMYFUNCTION("""COMPUTED_VALUE"""),"Funding, Learn a new topic")</f>
        <v>Funding, Learn a new topic</v>
      </c>
      <c r="AZ15" s="2" t="str">
        <f>IFERROR(__xludf.DUMMYFUNCTION("""COMPUTED_VALUE"""),"I would prefer to avoid courses that are substantially outside my background, as well as courses in which I have limited confidence based on my previous experience.")</f>
        <v>I would prefer to avoid courses that are substantially outside my background, as well as courses in which I have limited confidence based on my previous experience.</v>
      </c>
      <c r="BA15" s="2"/>
      <c r="BB15" s="2"/>
      <c r="BC15" s="2"/>
      <c r="BD15" s="2"/>
      <c r="BE15" s="2"/>
      <c r="BF15" s="2"/>
    </row>
    <row r="16">
      <c r="A16" s="3">
        <f>IFERROR(__xludf.DUMMYFUNCTION("""COMPUTED_VALUE"""),46247.553784641204)</f>
        <v>46247.55378</v>
      </c>
      <c r="B16" s="2" t="str">
        <f>IFERROR(__xludf.DUMMYFUNCTION("""COMPUTED_VALUE"""),"O")</f>
        <v>O</v>
      </c>
      <c r="C16" s="2" t="str">
        <f>IFERROR(__xludf.DUMMYFUNCTION("""COMPUTED_VALUE"""),"M")</f>
        <v>M</v>
      </c>
      <c r="D16" s="2" t="str">
        <f>IFERROR(__xludf.DUMMYFUNCTION("""COMPUTED_VALUE"""),"o@pitt.edu")</f>
        <v>o@pitt.edu</v>
      </c>
      <c r="E16" s="2" t="str">
        <f>IFERROR(__xludf.DUMMYFUNCTION("""COMPUTED_VALUE"""),"Third Choice Group")</f>
        <v>Third Choice Group</v>
      </c>
      <c r="F16" s="2" t="str">
        <f>IFERROR(__xludf.DUMMYFUNCTION("""COMPUTED_VALUE"""),"Third Choice Group")</f>
        <v>Third Choice Group</v>
      </c>
      <c r="G16" s="2" t="str">
        <f>IFERROR(__xludf.DUMMYFUNCTION("""COMPUTED_VALUE"""),"Third Choice Group")</f>
        <v>Third Choice Group</v>
      </c>
      <c r="H16" s="2" t="str">
        <f>IFERROR(__xludf.DUMMYFUNCTION("""COMPUTED_VALUE"""),"Second Choice")</f>
        <v>Second Choice</v>
      </c>
      <c r="I16" s="2" t="str">
        <f>IFERROR(__xludf.DUMMYFUNCTION("""COMPUTED_VALUE"""),"Third Choice Group")</f>
        <v>Third Choice Group</v>
      </c>
      <c r="J16" s="2" t="str">
        <f>IFERROR(__xludf.DUMMYFUNCTION("""COMPUTED_VALUE"""),"First Choice Group")</f>
        <v>First Choice Group</v>
      </c>
      <c r="K16" s="2" t="str">
        <f>IFERROR(__xludf.DUMMYFUNCTION("""COMPUTED_VALUE"""),"First Choice Group")</f>
        <v>First Choice Group</v>
      </c>
      <c r="L16" s="2" t="str">
        <f>IFERROR(__xludf.DUMMYFUNCTION("""COMPUTED_VALUE"""),"Third Choice Group")</f>
        <v>Third Choice Group</v>
      </c>
      <c r="M16" s="2" t="str">
        <f>IFERROR(__xludf.DUMMYFUNCTION("""COMPUTED_VALUE"""),"Second Choice")</f>
        <v>Second Choice</v>
      </c>
      <c r="N16" s="2" t="str">
        <f>IFERROR(__xludf.DUMMYFUNCTION("""COMPUTED_VALUE"""),"First Choice Group")</f>
        <v>First Choice Group</v>
      </c>
      <c r="O16" s="2" t="str">
        <f>IFERROR(__xludf.DUMMYFUNCTION("""COMPUTED_VALUE"""),"Third Choice Group")</f>
        <v>Third Choice Group</v>
      </c>
      <c r="P16" s="2" t="str">
        <f>IFERROR(__xludf.DUMMYFUNCTION("""COMPUTED_VALUE"""),"Second Choice")</f>
        <v>Second Choice</v>
      </c>
      <c r="Q16" s="2" t="str">
        <f>IFERROR(__xludf.DUMMYFUNCTION("""COMPUTED_VALUE"""),"First Choice Group")</f>
        <v>First Choice Group</v>
      </c>
      <c r="R16" s="2" t="str">
        <f>IFERROR(__xludf.DUMMYFUNCTION("""COMPUTED_VALUE"""),"Third Choice Group")</f>
        <v>Third Choice Group</v>
      </c>
      <c r="S16" s="2" t="str">
        <f>IFERROR(__xludf.DUMMYFUNCTION("""COMPUTED_VALUE"""),"First Choice Group")</f>
        <v>First Choice Group</v>
      </c>
      <c r="T16" s="2" t="str">
        <f>IFERROR(__xludf.DUMMYFUNCTION("""COMPUTED_VALUE"""),"Third Choice Group")</f>
        <v>Third Choice Group</v>
      </c>
      <c r="U16" s="2" t="str">
        <f>IFERROR(__xludf.DUMMYFUNCTION("""COMPUTED_VALUE"""),"Third Choice Group")</f>
        <v>Third Choice Group</v>
      </c>
      <c r="V16" s="2" t="str">
        <f>IFERROR(__xludf.DUMMYFUNCTION("""COMPUTED_VALUE"""),"Second Choice")</f>
        <v>Second Choice</v>
      </c>
      <c r="W16" s="2" t="str">
        <f>IFERROR(__xludf.DUMMYFUNCTION("""COMPUTED_VALUE"""),"Third Choice Group")</f>
        <v>Third Choice Group</v>
      </c>
      <c r="X16" s="2" t="str">
        <f>IFERROR(__xludf.DUMMYFUNCTION("""COMPUTED_VALUE"""),"Third Choice Group")</f>
        <v>Third Choice Group</v>
      </c>
      <c r="Y16" s="2" t="str">
        <f>IFERROR(__xludf.DUMMYFUNCTION("""COMPUTED_VALUE"""),"Third Choice Group")</f>
        <v>Third Choice Group</v>
      </c>
      <c r="Z16" s="2" t="str">
        <f>IFERROR(__xludf.DUMMYFUNCTION("""COMPUTED_VALUE"""),"Third Choice Group")</f>
        <v>Third Choice Group</v>
      </c>
      <c r="AA16" s="2" t="str">
        <f>IFERROR(__xludf.DUMMYFUNCTION("""COMPUTED_VALUE"""),"Third Choice Group")</f>
        <v>Third Choice Group</v>
      </c>
      <c r="AB16" s="2" t="str">
        <f>IFERROR(__xludf.DUMMYFUNCTION("""COMPUTED_VALUE"""),"Second Choice")</f>
        <v>Second Choice</v>
      </c>
      <c r="AC16" s="2" t="str">
        <f>IFERROR(__xludf.DUMMYFUNCTION("""COMPUTED_VALUE"""),"Second Choice")</f>
        <v>Second Choice</v>
      </c>
      <c r="AD16" s="2" t="str">
        <f>IFERROR(__xludf.DUMMYFUNCTION("""COMPUTED_VALUE"""),"Third Choice Group")</f>
        <v>Third Choice Group</v>
      </c>
      <c r="AE16" s="2" t="str">
        <f>IFERROR(__xludf.DUMMYFUNCTION("""COMPUTED_VALUE"""),"Second Choice")</f>
        <v>Second Choice</v>
      </c>
      <c r="AF16" s="2" t="str">
        <f>IFERROR(__xludf.DUMMYFUNCTION("""COMPUTED_VALUE"""),"Second Choice")</f>
        <v>Second Choice</v>
      </c>
      <c r="AG16" s="2" t="str">
        <f>IFERROR(__xludf.DUMMYFUNCTION("""COMPUTED_VALUE"""),"Third Choice Group")</f>
        <v>Third Choice Group</v>
      </c>
      <c r="AH16" s="2" t="str">
        <f>IFERROR(__xludf.DUMMYFUNCTION("""COMPUTED_VALUE"""),"Third Choice Group")</f>
        <v>Third Choice Group</v>
      </c>
      <c r="AI16" s="2" t="str">
        <f>IFERROR(__xludf.DUMMYFUNCTION("""COMPUTED_VALUE"""),"First Choice Group")</f>
        <v>First Choice Group</v>
      </c>
      <c r="AJ16" s="2" t="str">
        <f>IFERROR(__xludf.DUMMYFUNCTION("""COMPUTED_VALUE"""),"Third Choice Group")</f>
        <v>Third Choice Group</v>
      </c>
      <c r="AK16" s="2" t="str">
        <f>IFERROR(__xludf.DUMMYFUNCTION("""COMPUTED_VALUE"""),"Second Choice")</f>
        <v>Second Choice</v>
      </c>
      <c r="AL16" s="2" t="str">
        <f>IFERROR(__xludf.DUMMYFUNCTION("""COMPUTED_VALUE"""),"First Choice Group")</f>
        <v>First Choice Group</v>
      </c>
      <c r="AM16" s="2" t="str">
        <f>IFERROR(__xludf.DUMMYFUNCTION("""COMPUTED_VALUE"""),"Second Choice")</f>
        <v>Second Choice</v>
      </c>
      <c r="AN16" s="2" t="str">
        <f>IFERROR(__xludf.DUMMYFUNCTION("""COMPUTED_VALUE"""),"Second Choice")</f>
        <v>Second Choice</v>
      </c>
      <c r="AO16" s="2" t="str">
        <f>IFERROR(__xludf.DUMMYFUNCTION("""COMPUTED_VALUE"""),"Excellent")</f>
        <v>Excellent</v>
      </c>
      <c r="AP16" s="2" t="str">
        <f>IFERROR(__xludf.DUMMYFUNCTION("""COMPUTED_VALUE"""),"Excellent")</f>
        <v>Excellent</v>
      </c>
      <c r="AQ16" s="2" t="str">
        <f>IFERROR(__xludf.DUMMYFUNCTION("""COMPUTED_VALUE"""),"Strong")</f>
        <v>Strong</v>
      </c>
      <c r="AR16" s="2" t="str">
        <f>IFERROR(__xludf.DUMMYFUNCTION("""COMPUTED_VALUE"""),"Excellent")</f>
        <v>Excellent</v>
      </c>
      <c r="AS16" s="2" t="str">
        <f>IFERROR(__xludf.DUMMYFUNCTION("""COMPUTED_VALUE"""),"Satisfactory")</f>
        <v>Satisfactory</v>
      </c>
      <c r="AT16" s="2" t="str">
        <f>IFERROR(__xludf.DUMMYFUNCTION("""COMPUTED_VALUE"""),"Strong")</f>
        <v>Strong</v>
      </c>
      <c r="AU16" s="2" t="str">
        <f>IFERROR(__xludf.DUMMYFUNCTION("""COMPUTED_VALUE"""),"Satisfactory")</f>
        <v>Satisfactory</v>
      </c>
      <c r="AV16" s="2" t="str">
        <f>IFERROR(__xludf.DUMMYFUNCTION("""COMPUTED_VALUE"""),"Unsatisfactory")</f>
        <v>Unsatisfactory</v>
      </c>
      <c r="AW16" s="2" t="str">
        <f>IFERROR(__xludf.DUMMYFUNCTION("""COMPUTED_VALUE"""),"I have CS-2003 from 12:30 to 1:30 on Fridays.")</f>
        <v>I have CS-2003 from 12:30 to 1:30 on Fridays.</v>
      </c>
      <c r="AX16" s="2" t="str">
        <f>IFERROR(__xludf.DUMMYFUNCTION("""COMPUTED_VALUE"""),"None.")</f>
        <v>None.</v>
      </c>
      <c r="AY16" s="2" t="str">
        <f>IFERROR(__xludf.DUMMYFUNCTION("""COMPUTED_VALUE"""),"Funding, Teaching experience, Learn a new topic")</f>
        <v>Funding, Teaching experience, Learn a new topic</v>
      </c>
      <c r="AZ16" s="2" t="str">
        <f>IFERROR(__xludf.DUMMYFUNCTION("""COMPUTED_VALUE"""),"I would like to be assigned Grading assignments, as for the last two weeks of the semester after Thanksgiving, I will likely be away in India to visit my grandmother for her 80th birthday. If possible, do not assign me to CS-1503.")</f>
        <v>I would like to be assigned Grading assignments, as for the last two weeks of the semester after Thanksgiving, I will likely be away in India to visit my grandmother for her 80th birthday. If possible, do not assign me to CS-1503.</v>
      </c>
      <c r="BA16" s="2"/>
      <c r="BB16" s="2"/>
      <c r="BC16" s="2"/>
      <c r="BD16" s="2"/>
      <c r="BE16" s="2"/>
      <c r="BF16" s="2"/>
    </row>
    <row r="17">
      <c r="A17" s="3">
        <f>IFERROR(__xludf.DUMMYFUNCTION("""COMPUTED_VALUE"""),46247.87746416667)</f>
        <v>46247.87746</v>
      </c>
      <c r="B17" s="2" t="str">
        <f>IFERROR(__xludf.DUMMYFUNCTION("""COMPUTED_VALUE"""),"P")</f>
        <v>P</v>
      </c>
      <c r="C17" s="2" t="str">
        <f>IFERROR(__xludf.DUMMYFUNCTION("""COMPUTED_VALUE"""),"N")</f>
        <v>N</v>
      </c>
      <c r="D17" s="2" t="str">
        <f>IFERROR(__xludf.DUMMYFUNCTION("""COMPUTED_VALUE"""),"p@pitt.edu")</f>
        <v>p@pitt.edu</v>
      </c>
      <c r="E17" s="2" t="str">
        <f>IFERROR(__xludf.DUMMYFUNCTION("""COMPUTED_VALUE"""),"Third Choice Group")</f>
        <v>Third Choice Group</v>
      </c>
      <c r="F17" s="2" t="str">
        <f>IFERROR(__xludf.DUMMYFUNCTION("""COMPUTED_VALUE"""),"Third Choice Group")</f>
        <v>Third Choice Group</v>
      </c>
      <c r="G17" s="2" t="str">
        <f>IFERROR(__xludf.DUMMYFUNCTION("""COMPUTED_VALUE"""),"Third Choice Group")</f>
        <v>Third Choice Group</v>
      </c>
      <c r="H17" s="2" t="str">
        <f>IFERROR(__xludf.DUMMYFUNCTION("""COMPUTED_VALUE"""),"Cannot TA Group (explain below)")</f>
        <v>Cannot TA Group (explain below)</v>
      </c>
      <c r="I17" s="2" t="str">
        <f>IFERROR(__xludf.DUMMYFUNCTION("""COMPUTED_VALUE"""),"Cannot TA Group (explain below)")</f>
        <v>Cannot TA Group (explain below)</v>
      </c>
      <c r="J17" s="2" t="str">
        <f>IFERROR(__xludf.DUMMYFUNCTION("""COMPUTED_VALUE"""),"Cannot TA Group (explain below)")</f>
        <v>Cannot TA Group (explain below)</v>
      </c>
      <c r="K17" s="2" t="str">
        <f>IFERROR(__xludf.DUMMYFUNCTION("""COMPUTED_VALUE"""),"Cannot TA Group (explain below)")</f>
        <v>Cannot TA Group (explain below)</v>
      </c>
      <c r="L17" s="2" t="str">
        <f>IFERROR(__xludf.DUMMYFUNCTION("""COMPUTED_VALUE"""),"Cannot TA Group (explain below)")</f>
        <v>Cannot TA Group (explain below)</v>
      </c>
      <c r="M17" s="2" t="str">
        <f>IFERROR(__xludf.DUMMYFUNCTION("""COMPUTED_VALUE"""),"Cannot TA Group (explain below)")</f>
        <v>Cannot TA Group (explain below)</v>
      </c>
      <c r="N17" s="2" t="str">
        <f>IFERROR(__xludf.DUMMYFUNCTION("""COMPUTED_VALUE"""),"Third Choice Group")</f>
        <v>Third Choice Group</v>
      </c>
      <c r="O17" s="2" t="str">
        <f>IFERROR(__xludf.DUMMYFUNCTION("""COMPUTED_VALUE"""),"Second Choice")</f>
        <v>Second Choice</v>
      </c>
      <c r="P17" s="2" t="str">
        <f>IFERROR(__xludf.DUMMYFUNCTION("""COMPUTED_VALUE"""),"Cannot TA Group (explain below)")</f>
        <v>Cannot TA Group (explain below)</v>
      </c>
      <c r="Q17" s="2" t="str">
        <f>IFERROR(__xludf.DUMMYFUNCTION("""COMPUTED_VALUE"""),"Third Choice Group")</f>
        <v>Third Choice Group</v>
      </c>
      <c r="R17" s="2" t="str">
        <f>IFERROR(__xludf.DUMMYFUNCTION("""COMPUTED_VALUE"""),"Cannot TA Group (explain below)")</f>
        <v>Cannot TA Group (explain below)</v>
      </c>
      <c r="S17" s="2" t="str">
        <f>IFERROR(__xludf.DUMMYFUNCTION("""COMPUTED_VALUE"""),"Cannot TA Group (explain below)")</f>
        <v>Cannot TA Group (explain below)</v>
      </c>
      <c r="T17" s="2" t="str">
        <f>IFERROR(__xludf.DUMMYFUNCTION("""COMPUTED_VALUE"""),"Third Choice Group")</f>
        <v>Third Choice Group</v>
      </c>
      <c r="U17" s="2" t="str">
        <f>IFERROR(__xludf.DUMMYFUNCTION("""COMPUTED_VALUE"""),"Cannot TA Group (explain below)")</f>
        <v>Cannot TA Group (explain below)</v>
      </c>
      <c r="V17" s="2" t="str">
        <f>IFERROR(__xludf.DUMMYFUNCTION("""COMPUTED_VALUE"""),"Second Choice")</f>
        <v>Second Choice</v>
      </c>
      <c r="W17" s="2" t="str">
        <f>IFERROR(__xludf.DUMMYFUNCTION("""COMPUTED_VALUE"""),"First Choice Group")</f>
        <v>First Choice Group</v>
      </c>
      <c r="X17" s="2" t="str">
        <f>IFERROR(__xludf.DUMMYFUNCTION("""COMPUTED_VALUE"""),"Cannot TA Group (explain below)")</f>
        <v>Cannot TA Group (explain below)</v>
      </c>
      <c r="Y17" s="2" t="str">
        <f>IFERROR(__xludf.DUMMYFUNCTION("""COMPUTED_VALUE"""),"Cannot TA Group (explain below)")</f>
        <v>Cannot TA Group (explain below)</v>
      </c>
      <c r="Z17" s="2" t="str">
        <f>IFERROR(__xludf.DUMMYFUNCTION("""COMPUTED_VALUE"""),"Third Choice Group")</f>
        <v>Third Choice Group</v>
      </c>
      <c r="AA17" s="2" t="str">
        <f>IFERROR(__xludf.DUMMYFUNCTION("""COMPUTED_VALUE"""),"Cannot TA Group (explain below)")</f>
        <v>Cannot TA Group (explain below)</v>
      </c>
      <c r="AB17" s="2" t="str">
        <f>IFERROR(__xludf.DUMMYFUNCTION("""COMPUTED_VALUE"""),"Cannot TA Group (explain below)")</f>
        <v>Cannot TA Group (explain below)</v>
      </c>
      <c r="AC17" s="2" t="str">
        <f>IFERROR(__xludf.DUMMYFUNCTION("""COMPUTED_VALUE"""),"First Choice Group")</f>
        <v>First Choice Group</v>
      </c>
      <c r="AD17" s="2" t="str">
        <f>IFERROR(__xludf.DUMMYFUNCTION("""COMPUTED_VALUE"""),"First Choice Group")</f>
        <v>First Choice Group</v>
      </c>
      <c r="AE17" s="2" t="str">
        <f>IFERROR(__xludf.DUMMYFUNCTION("""COMPUTED_VALUE"""),"First Choice Group")</f>
        <v>First Choice Group</v>
      </c>
      <c r="AF17" s="2" t="str">
        <f>IFERROR(__xludf.DUMMYFUNCTION("""COMPUTED_VALUE"""),"First Choice Group")</f>
        <v>First Choice Group</v>
      </c>
      <c r="AG17" s="2" t="str">
        <f>IFERROR(__xludf.DUMMYFUNCTION("""COMPUTED_VALUE"""),"Third Choice Group")</f>
        <v>Third Choice Group</v>
      </c>
      <c r="AH17" s="2" t="str">
        <f>IFERROR(__xludf.DUMMYFUNCTION("""COMPUTED_VALUE"""),"First Choice Group")</f>
        <v>First Choice Group</v>
      </c>
      <c r="AI17" s="2" t="str">
        <f>IFERROR(__xludf.DUMMYFUNCTION("""COMPUTED_VALUE"""),"Third Choice Group")</f>
        <v>Third Choice Group</v>
      </c>
      <c r="AJ17" s="2" t="str">
        <f>IFERROR(__xludf.DUMMYFUNCTION("""COMPUTED_VALUE"""),"Cannot TA Group (explain below)")</f>
        <v>Cannot TA Group (explain below)</v>
      </c>
      <c r="AK17" s="2" t="str">
        <f>IFERROR(__xludf.DUMMYFUNCTION("""COMPUTED_VALUE"""),"Third Choice Group")</f>
        <v>Third Choice Group</v>
      </c>
      <c r="AL17" s="2" t="str">
        <f>IFERROR(__xludf.DUMMYFUNCTION("""COMPUTED_VALUE"""),"First Choice Group")</f>
        <v>First Choice Group</v>
      </c>
      <c r="AM17" s="2" t="str">
        <f>IFERROR(__xludf.DUMMYFUNCTION("""COMPUTED_VALUE"""),"Second Choice")</f>
        <v>Second Choice</v>
      </c>
      <c r="AN17" s="2" t="str">
        <f>IFERROR(__xludf.DUMMYFUNCTION("""COMPUTED_VALUE"""),"Cannot TA Group (explain below)")</f>
        <v>Cannot TA Group (explain below)</v>
      </c>
      <c r="AO17" s="2" t="str">
        <f>IFERROR(__xludf.DUMMYFUNCTION("""COMPUTED_VALUE"""),"Satisfactory")</f>
        <v>Satisfactory</v>
      </c>
      <c r="AP17" s="2" t="str">
        <f>IFERROR(__xludf.DUMMYFUNCTION("""COMPUTED_VALUE"""),"Unsatisfactory")</f>
        <v>Unsatisfactory</v>
      </c>
      <c r="AQ17" s="2" t="str">
        <f>IFERROR(__xludf.DUMMYFUNCTION("""COMPUTED_VALUE"""),"Unsatisfactory")</f>
        <v>Unsatisfactory</v>
      </c>
      <c r="AR17" s="2" t="str">
        <f>IFERROR(__xludf.DUMMYFUNCTION("""COMPUTED_VALUE"""),"Satisfactory")</f>
        <v>Satisfactory</v>
      </c>
      <c r="AS17" s="2" t="str">
        <f>IFERROR(__xludf.DUMMYFUNCTION("""COMPUTED_VALUE"""),"Strong")</f>
        <v>Strong</v>
      </c>
      <c r="AT17" s="2" t="str">
        <f>IFERROR(__xludf.DUMMYFUNCTION("""COMPUTED_VALUE"""),"Excellent")</f>
        <v>Excellent</v>
      </c>
      <c r="AU17" s="2" t="str">
        <f>IFERROR(__xludf.DUMMYFUNCTION("""COMPUTED_VALUE"""),"Unsatisfactory")</f>
        <v>Unsatisfactory</v>
      </c>
      <c r="AV17" s="2" t="str">
        <f>IFERROR(__xludf.DUMMYFUNCTION("""COMPUTED_VALUE"""),"Unsatisfactory")</f>
        <v>Unsatisfactory</v>
      </c>
      <c r="AW17" s="2" t="str">
        <f>IFERROR(__xludf.DUMMYFUNCTION("""COMPUTED_VALUE"""),"NA")</f>
        <v>NA</v>
      </c>
      <c r="AX17" s="2" t="str">
        <f>IFERROR(__xludf.DUMMYFUNCTION("""COMPUTED_VALUE"""),"NA")</f>
        <v>NA</v>
      </c>
      <c r="AY17" s="2" t="str">
        <f>IFERROR(__xludf.DUMMYFUNCTION("""COMPUTED_VALUE"""),"Funding")</f>
        <v>Funding</v>
      </c>
      <c r="AZ17" s="2" t="str">
        <f>IFERROR(__xludf.DUMMYFUNCTION("""COMPUTED_VALUE"""),"I strongly prefer to be a grader this semester and I would like to request to be a grader. I don't think I have enough knowledge (zero to not enough to be helpful) for cases that I chose cannot TA for the course.")</f>
        <v>I strongly prefer to be a grader this semester and I would like to request to be a grader. I don't think I have enough knowledge (zero to not enough to be helpful) for cases that I chose cannot TA for the course.</v>
      </c>
      <c r="BA17" s="2"/>
      <c r="BB17" s="2"/>
      <c r="BC17" s="2"/>
      <c r="BD17" s="2"/>
      <c r="BE17" s="2"/>
      <c r="BF17" s="2"/>
    </row>
    <row r="18">
      <c r="A18" s="3">
        <f>IFERROR(__xludf.DUMMYFUNCTION("""COMPUTED_VALUE"""),46247.94180701389)</f>
        <v>46247.94181</v>
      </c>
      <c r="B18" s="2" t="str">
        <f>IFERROR(__xludf.DUMMYFUNCTION("""COMPUTED_VALUE"""),"Q")</f>
        <v>Q</v>
      </c>
      <c r="C18" s="2" t="str">
        <f>IFERROR(__xludf.DUMMYFUNCTION("""COMPUTED_VALUE"""),"O")</f>
        <v>O</v>
      </c>
      <c r="D18" s="2" t="str">
        <f>IFERROR(__xludf.DUMMYFUNCTION("""COMPUTED_VALUE"""),"q@pitt.edu")</f>
        <v>q@pitt.edu</v>
      </c>
      <c r="E18" s="2" t="str">
        <f>IFERROR(__xludf.DUMMYFUNCTION("""COMPUTED_VALUE"""),"Second Choice")</f>
        <v>Second Choice</v>
      </c>
      <c r="F18" s="2" t="str">
        <f>IFERROR(__xludf.DUMMYFUNCTION("""COMPUTED_VALUE"""),"Second Choice")</f>
        <v>Second Choice</v>
      </c>
      <c r="G18" s="2" t="str">
        <f>IFERROR(__xludf.DUMMYFUNCTION("""COMPUTED_VALUE"""),"Second Choice")</f>
        <v>Second Choice</v>
      </c>
      <c r="H18" s="2" t="str">
        <f>IFERROR(__xludf.DUMMYFUNCTION("""COMPUTED_VALUE"""),"Third Choice Group")</f>
        <v>Third Choice Group</v>
      </c>
      <c r="I18" s="2" t="str">
        <f>IFERROR(__xludf.DUMMYFUNCTION("""COMPUTED_VALUE"""),"Second Choice")</f>
        <v>Second Choice</v>
      </c>
      <c r="J18" s="2" t="str">
        <f>IFERROR(__xludf.DUMMYFUNCTION("""COMPUTED_VALUE"""),"Third Choice Group")</f>
        <v>Third Choice Group</v>
      </c>
      <c r="K18" s="2" t="str">
        <f>IFERROR(__xludf.DUMMYFUNCTION("""COMPUTED_VALUE"""),"Third Choice Group")</f>
        <v>Third Choice Group</v>
      </c>
      <c r="L18" s="2" t="str">
        <f>IFERROR(__xludf.DUMMYFUNCTION("""COMPUTED_VALUE"""),"Third Choice Group")</f>
        <v>Third Choice Group</v>
      </c>
      <c r="M18" s="2" t="str">
        <f>IFERROR(__xludf.DUMMYFUNCTION("""COMPUTED_VALUE"""),"First Choice Group")</f>
        <v>First Choice Group</v>
      </c>
      <c r="N18" s="2" t="str">
        <f>IFERROR(__xludf.DUMMYFUNCTION("""COMPUTED_VALUE"""),"Third Choice Group")</f>
        <v>Third Choice Group</v>
      </c>
      <c r="O18" s="2" t="str">
        <f>IFERROR(__xludf.DUMMYFUNCTION("""COMPUTED_VALUE"""),"Third Choice Group")</f>
        <v>Third Choice Group</v>
      </c>
      <c r="P18" s="2" t="str">
        <f>IFERROR(__xludf.DUMMYFUNCTION("""COMPUTED_VALUE"""),"Third Choice Group")</f>
        <v>Third Choice Group</v>
      </c>
      <c r="Q18" s="2" t="str">
        <f>IFERROR(__xludf.DUMMYFUNCTION("""COMPUTED_VALUE"""),"Third Choice Group")</f>
        <v>Third Choice Group</v>
      </c>
      <c r="R18" s="2" t="str">
        <f>IFERROR(__xludf.DUMMYFUNCTION("""COMPUTED_VALUE"""),"Second Choice")</f>
        <v>Second Choice</v>
      </c>
      <c r="S18" s="2" t="str">
        <f>IFERROR(__xludf.DUMMYFUNCTION("""COMPUTED_VALUE"""),"Second Choice")</f>
        <v>Second Choice</v>
      </c>
      <c r="T18" s="2" t="str">
        <f>IFERROR(__xludf.DUMMYFUNCTION("""COMPUTED_VALUE"""),"Third Choice Group")</f>
        <v>Third Choice Group</v>
      </c>
      <c r="U18" s="2" t="str">
        <f>IFERROR(__xludf.DUMMYFUNCTION("""COMPUTED_VALUE"""),"Third Choice Group")</f>
        <v>Third Choice Group</v>
      </c>
      <c r="V18" s="2" t="str">
        <f>IFERROR(__xludf.DUMMYFUNCTION("""COMPUTED_VALUE"""),"Second Choice")</f>
        <v>Second Choice</v>
      </c>
      <c r="W18" s="2" t="str">
        <f>IFERROR(__xludf.DUMMYFUNCTION("""COMPUTED_VALUE"""),"Second Choice")</f>
        <v>Second Choice</v>
      </c>
      <c r="X18" s="2" t="str">
        <f>IFERROR(__xludf.DUMMYFUNCTION("""COMPUTED_VALUE"""),"Third Choice Group")</f>
        <v>Third Choice Group</v>
      </c>
      <c r="Y18" s="2" t="str">
        <f>IFERROR(__xludf.DUMMYFUNCTION("""COMPUTED_VALUE"""),"First Choice Group")</f>
        <v>First Choice Group</v>
      </c>
      <c r="Z18" s="2" t="str">
        <f>IFERROR(__xludf.DUMMYFUNCTION("""COMPUTED_VALUE"""),"Third Choice Group")</f>
        <v>Third Choice Group</v>
      </c>
      <c r="AA18" s="2" t="str">
        <f>IFERROR(__xludf.DUMMYFUNCTION("""COMPUTED_VALUE"""),"Third Choice Group")</f>
        <v>Third Choice Group</v>
      </c>
      <c r="AB18" s="2" t="str">
        <f>IFERROR(__xludf.DUMMYFUNCTION("""COMPUTED_VALUE"""),"Third Choice Group")</f>
        <v>Third Choice Group</v>
      </c>
      <c r="AC18" s="2" t="str">
        <f>IFERROR(__xludf.DUMMYFUNCTION("""COMPUTED_VALUE"""),"Third Choice Group")</f>
        <v>Third Choice Group</v>
      </c>
      <c r="AD18" s="2" t="str">
        <f>IFERROR(__xludf.DUMMYFUNCTION("""COMPUTED_VALUE"""),"Third Choice Group")</f>
        <v>Third Choice Group</v>
      </c>
      <c r="AE18" s="2" t="str">
        <f>IFERROR(__xludf.DUMMYFUNCTION("""COMPUTED_VALUE"""),"Third Choice Group")</f>
        <v>Third Choice Group</v>
      </c>
      <c r="AF18" s="2" t="str">
        <f>IFERROR(__xludf.DUMMYFUNCTION("""COMPUTED_VALUE"""),"Third Choice Group")</f>
        <v>Third Choice Group</v>
      </c>
      <c r="AG18" s="2" t="str">
        <f>IFERROR(__xludf.DUMMYFUNCTION("""COMPUTED_VALUE"""),"Third Choice Group")</f>
        <v>Third Choice Group</v>
      </c>
      <c r="AH18" s="2" t="str">
        <f>IFERROR(__xludf.DUMMYFUNCTION("""COMPUTED_VALUE"""),"First Choice Group")</f>
        <v>First Choice Group</v>
      </c>
      <c r="AI18" s="2" t="str">
        <f>IFERROR(__xludf.DUMMYFUNCTION("""COMPUTED_VALUE"""),"Third Choice Group")</f>
        <v>Third Choice Group</v>
      </c>
      <c r="AJ18" s="2" t="str">
        <f>IFERROR(__xludf.DUMMYFUNCTION("""COMPUTED_VALUE"""),"Third Choice Group")</f>
        <v>Third Choice Group</v>
      </c>
      <c r="AK18" s="2" t="str">
        <f>IFERROR(__xludf.DUMMYFUNCTION("""COMPUTED_VALUE"""),"Third Choice Group")</f>
        <v>Third Choice Group</v>
      </c>
      <c r="AL18" s="2" t="str">
        <f>IFERROR(__xludf.DUMMYFUNCTION("""COMPUTED_VALUE"""),"Third Choice Group")</f>
        <v>Third Choice Group</v>
      </c>
      <c r="AM18" s="2" t="str">
        <f>IFERROR(__xludf.DUMMYFUNCTION("""COMPUTED_VALUE"""),"Third Choice Group")</f>
        <v>Third Choice Group</v>
      </c>
      <c r="AN18" s="2" t="str">
        <f>IFERROR(__xludf.DUMMYFUNCTION("""COMPUTED_VALUE"""),"Third Choice Group")</f>
        <v>Third Choice Group</v>
      </c>
      <c r="AO18" s="2" t="str">
        <f>IFERROR(__xludf.DUMMYFUNCTION("""COMPUTED_VALUE"""),"Strong")</f>
        <v>Strong</v>
      </c>
      <c r="AP18" s="2" t="str">
        <f>IFERROR(__xludf.DUMMYFUNCTION("""COMPUTED_VALUE"""),"Strong")</f>
        <v>Strong</v>
      </c>
      <c r="AQ18" s="2" t="str">
        <f>IFERROR(__xludf.DUMMYFUNCTION("""COMPUTED_VALUE"""),"Unsatisfactory")</f>
        <v>Unsatisfactory</v>
      </c>
      <c r="AR18" s="2" t="str">
        <f>IFERROR(__xludf.DUMMYFUNCTION("""COMPUTED_VALUE"""),"Unsatisfactory")</f>
        <v>Unsatisfactory</v>
      </c>
      <c r="AS18" s="2" t="str">
        <f>IFERROR(__xludf.DUMMYFUNCTION("""COMPUTED_VALUE"""),"Satisfactory")</f>
        <v>Satisfactory</v>
      </c>
      <c r="AT18" s="2" t="str">
        <f>IFERROR(__xludf.DUMMYFUNCTION("""COMPUTED_VALUE"""),"Satisfactory")</f>
        <v>Satisfactory</v>
      </c>
      <c r="AU18" s="2" t="str">
        <f>IFERROR(__xludf.DUMMYFUNCTION("""COMPUTED_VALUE"""),"Unsatisfactory")</f>
        <v>Unsatisfactory</v>
      </c>
      <c r="AV18" s="2" t="str">
        <f>IFERROR(__xludf.DUMMYFUNCTION("""COMPUTED_VALUE"""),"Unsatisfactory")</f>
        <v>Unsatisfactory</v>
      </c>
      <c r="AW18" s="2" t="str">
        <f>IFERROR(__xludf.DUMMYFUNCTION("""COMPUTED_VALUE"""),"N/A")</f>
        <v>N/A</v>
      </c>
      <c r="AX18" s="2" t="str">
        <f>IFERROR(__xludf.DUMMYFUNCTION("""COMPUTED_VALUE"""),"N/A")</f>
        <v>N/A</v>
      </c>
      <c r="AY18" s="2" t="str">
        <f>IFERROR(__xludf.DUMMYFUNCTION("""COMPUTED_VALUE"""),"Funding")</f>
        <v>Funding</v>
      </c>
      <c r="AZ18" s="2" t="str">
        <f>IFERROR(__xludf.DUMMYFUNCTION("""COMPUTED_VALUE"""),"N/A")</f>
        <v>N/A</v>
      </c>
      <c r="BA18" s="2"/>
      <c r="BB18" s="2"/>
      <c r="BC18" s="2"/>
      <c r="BD18" s="2"/>
      <c r="BE18" s="2"/>
      <c r="BF18" s="2"/>
    </row>
    <row r="19">
      <c r="A19" s="3">
        <f>IFERROR(__xludf.DUMMYFUNCTION("""COMPUTED_VALUE"""),46248.39507570602)</f>
        <v>46248.39508</v>
      </c>
      <c r="B19" s="2" t="str">
        <f>IFERROR(__xludf.DUMMYFUNCTION("""COMPUTED_VALUE"""),"R")</f>
        <v>R</v>
      </c>
      <c r="C19" s="2" t="str">
        <f>IFERROR(__xludf.DUMMYFUNCTION("""COMPUTED_VALUE"""),"P")</f>
        <v>P</v>
      </c>
      <c r="D19" s="2" t="str">
        <f>IFERROR(__xludf.DUMMYFUNCTION("""COMPUTED_VALUE"""),"r@pitt.edu")</f>
        <v>r@pitt.edu</v>
      </c>
      <c r="E19" s="2" t="str">
        <f>IFERROR(__xludf.DUMMYFUNCTION("""COMPUTED_VALUE"""),"First Choice Group")</f>
        <v>First Choice Group</v>
      </c>
      <c r="F19" s="2" t="str">
        <f>IFERROR(__xludf.DUMMYFUNCTION("""COMPUTED_VALUE"""),"Second Choice")</f>
        <v>Second Choice</v>
      </c>
      <c r="G19" s="2" t="str">
        <f>IFERROR(__xludf.DUMMYFUNCTION("""COMPUTED_VALUE"""),"Second Choice")</f>
        <v>Second Choice</v>
      </c>
      <c r="H19" s="2" t="str">
        <f>IFERROR(__xludf.DUMMYFUNCTION("""COMPUTED_VALUE"""),"First Choice Group")</f>
        <v>First Choice Group</v>
      </c>
      <c r="I19" s="2" t="str">
        <f>IFERROR(__xludf.DUMMYFUNCTION("""COMPUTED_VALUE"""),"Second Choice")</f>
        <v>Second Choice</v>
      </c>
      <c r="J19" s="2" t="str">
        <f>IFERROR(__xludf.DUMMYFUNCTION("""COMPUTED_VALUE"""),"Third Choice Group")</f>
        <v>Third Choice Group</v>
      </c>
      <c r="K19" s="2" t="str">
        <f>IFERROR(__xludf.DUMMYFUNCTION("""COMPUTED_VALUE"""),"Second Choice")</f>
        <v>Second Choice</v>
      </c>
      <c r="L19" s="2" t="str">
        <f>IFERROR(__xludf.DUMMYFUNCTION("""COMPUTED_VALUE"""),"Second Choice")</f>
        <v>Second Choice</v>
      </c>
      <c r="M19" s="2" t="str">
        <f>IFERROR(__xludf.DUMMYFUNCTION("""COMPUTED_VALUE"""),"Third Choice Group")</f>
        <v>Third Choice Group</v>
      </c>
      <c r="N19" s="2" t="str">
        <f>IFERROR(__xludf.DUMMYFUNCTION("""COMPUTED_VALUE"""),"Second Choice")</f>
        <v>Second Choice</v>
      </c>
      <c r="O19" s="2" t="str">
        <f>IFERROR(__xludf.DUMMYFUNCTION("""COMPUTED_VALUE"""),"First Choice Group")</f>
        <v>First Choice Group</v>
      </c>
      <c r="P19" s="2" t="str">
        <f>IFERROR(__xludf.DUMMYFUNCTION("""COMPUTED_VALUE"""),"Third Choice Group")</f>
        <v>Third Choice Group</v>
      </c>
      <c r="Q19" s="2" t="str">
        <f>IFERROR(__xludf.DUMMYFUNCTION("""COMPUTED_VALUE"""),"Second Choice")</f>
        <v>Second Choice</v>
      </c>
      <c r="R19" s="2" t="str">
        <f>IFERROR(__xludf.DUMMYFUNCTION("""COMPUTED_VALUE"""),"Second Choice")</f>
        <v>Second Choice</v>
      </c>
      <c r="S19" s="2" t="str">
        <f>IFERROR(__xludf.DUMMYFUNCTION("""COMPUTED_VALUE"""),"Third Choice Group")</f>
        <v>Third Choice Group</v>
      </c>
      <c r="T19" s="2" t="str">
        <f>IFERROR(__xludf.DUMMYFUNCTION("""COMPUTED_VALUE"""),"First Choice Group")</f>
        <v>First Choice Group</v>
      </c>
      <c r="U19" s="2" t="str">
        <f>IFERROR(__xludf.DUMMYFUNCTION("""COMPUTED_VALUE"""),"First Choice Group")</f>
        <v>First Choice Group</v>
      </c>
      <c r="V19" s="2" t="str">
        <f>IFERROR(__xludf.DUMMYFUNCTION("""COMPUTED_VALUE"""),"First Choice Group")</f>
        <v>First Choice Group</v>
      </c>
      <c r="W19" s="2" t="str">
        <f>IFERROR(__xludf.DUMMYFUNCTION("""COMPUTED_VALUE"""),"Second Choice")</f>
        <v>Second Choice</v>
      </c>
      <c r="X19" s="2" t="str">
        <f>IFERROR(__xludf.DUMMYFUNCTION("""COMPUTED_VALUE"""),"Third Choice Group")</f>
        <v>Third Choice Group</v>
      </c>
      <c r="Y19" s="2" t="str">
        <f>IFERROR(__xludf.DUMMYFUNCTION("""COMPUTED_VALUE"""),"Second Choice")</f>
        <v>Second Choice</v>
      </c>
      <c r="Z19" s="2" t="str">
        <f>IFERROR(__xludf.DUMMYFUNCTION("""COMPUTED_VALUE"""),"First Choice Group")</f>
        <v>First Choice Group</v>
      </c>
      <c r="AA19" s="2" t="str">
        <f>IFERROR(__xludf.DUMMYFUNCTION("""COMPUTED_VALUE"""),"First Choice Group")</f>
        <v>First Choice Group</v>
      </c>
      <c r="AB19" s="2" t="str">
        <f>IFERROR(__xludf.DUMMYFUNCTION("""COMPUTED_VALUE"""),"Second Choice")</f>
        <v>Second Choice</v>
      </c>
      <c r="AC19" s="2" t="str">
        <f>IFERROR(__xludf.DUMMYFUNCTION("""COMPUTED_VALUE"""),"Second Choice")</f>
        <v>Second Choice</v>
      </c>
      <c r="AD19" s="2" t="str">
        <f>IFERROR(__xludf.DUMMYFUNCTION("""COMPUTED_VALUE"""),"First Choice Group")</f>
        <v>First Choice Group</v>
      </c>
      <c r="AE19" s="2" t="str">
        <f>IFERROR(__xludf.DUMMYFUNCTION("""COMPUTED_VALUE"""),"First Choice Group")</f>
        <v>First Choice Group</v>
      </c>
      <c r="AF19" s="2" t="str">
        <f>IFERROR(__xludf.DUMMYFUNCTION("""COMPUTED_VALUE"""),"Second Choice")</f>
        <v>Second Choice</v>
      </c>
      <c r="AG19" s="2" t="str">
        <f>IFERROR(__xludf.DUMMYFUNCTION("""COMPUTED_VALUE"""),"First Choice Group")</f>
        <v>First Choice Group</v>
      </c>
      <c r="AH19" s="2" t="str">
        <f>IFERROR(__xludf.DUMMYFUNCTION("""COMPUTED_VALUE"""),"Second Choice")</f>
        <v>Second Choice</v>
      </c>
      <c r="AI19" s="2" t="str">
        <f>IFERROR(__xludf.DUMMYFUNCTION("""COMPUTED_VALUE"""),"Cannot TA Group (explain below)")</f>
        <v>Cannot TA Group (explain below)</v>
      </c>
      <c r="AJ19" s="2" t="str">
        <f>IFERROR(__xludf.DUMMYFUNCTION("""COMPUTED_VALUE"""),"Third Choice Group")</f>
        <v>Third Choice Group</v>
      </c>
      <c r="AK19" s="2" t="str">
        <f>IFERROR(__xludf.DUMMYFUNCTION("""COMPUTED_VALUE"""),"Second Choice")</f>
        <v>Second Choice</v>
      </c>
      <c r="AL19" s="2" t="str">
        <f>IFERROR(__xludf.DUMMYFUNCTION("""COMPUTED_VALUE"""),"First Choice Group")</f>
        <v>First Choice Group</v>
      </c>
      <c r="AM19" s="2" t="str">
        <f>IFERROR(__xludf.DUMMYFUNCTION("""COMPUTED_VALUE"""),"First Choice Group")</f>
        <v>First Choice Group</v>
      </c>
      <c r="AN19" s="2" t="str">
        <f>IFERROR(__xludf.DUMMYFUNCTION("""COMPUTED_VALUE"""),"Third Choice Group")</f>
        <v>Third Choice Group</v>
      </c>
      <c r="AO19" s="2" t="str">
        <f>IFERROR(__xludf.DUMMYFUNCTION("""COMPUTED_VALUE"""),"Excellent")</f>
        <v>Excellent</v>
      </c>
      <c r="AP19" s="2" t="str">
        <f>IFERROR(__xludf.DUMMYFUNCTION("""COMPUTED_VALUE"""),"Strong")</f>
        <v>Strong</v>
      </c>
      <c r="AQ19" s="2" t="str">
        <f>IFERROR(__xludf.DUMMYFUNCTION("""COMPUTED_VALUE"""),"Satisfactory")</f>
        <v>Satisfactory</v>
      </c>
      <c r="AR19" s="2" t="str">
        <f>IFERROR(__xludf.DUMMYFUNCTION("""COMPUTED_VALUE"""),"Strong")</f>
        <v>Strong</v>
      </c>
      <c r="AS19" s="2" t="str">
        <f>IFERROR(__xludf.DUMMYFUNCTION("""COMPUTED_VALUE"""),"Strong")</f>
        <v>Strong</v>
      </c>
      <c r="AT19" s="2" t="str">
        <f>IFERROR(__xludf.DUMMYFUNCTION("""COMPUTED_VALUE"""),"Excellent")</f>
        <v>Excellent</v>
      </c>
      <c r="AU19" s="2" t="str">
        <f>IFERROR(__xludf.DUMMYFUNCTION("""COMPUTED_VALUE"""),"Satisfactory")</f>
        <v>Satisfactory</v>
      </c>
      <c r="AV19" s="2" t="str">
        <f>IFERROR(__xludf.DUMMYFUNCTION("""COMPUTED_VALUE"""),"Excellent")</f>
        <v>Excellent</v>
      </c>
      <c r="AW19" s="2" t="str">
        <f>IFERROR(__xludf.DUMMYFUNCTION("""COMPUTED_VALUE"""),"Monday Wednesday 1pm to 2:15pm")</f>
        <v>Monday Wednesday 1pm to 2:15pm</v>
      </c>
      <c r="AX19" s="2" t="str">
        <f>IFERROR(__xludf.DUMMYFUNCTION("""COMPUTED_VALUE"""),"COMPILER DESIGN | CS 2210")</f>
        <v>COMPILER DESIGN | CS 2210</v>
      </c>
      <c r="AY19" s="2" t="str">
        <f>IFERROR(__xludf.DUMMYFUNCTION("""COMPUTED_VALUE"""),"Funding, Teaching experience, Improve public speaking or other skills")</f>
        <v>Funding, Teaching experience, Improve public speaking or other skills</v>
      </c>
      <c r="AZ19" s="2" t="str">
        <f>IFERROR(__xludf.DUMMYFUNCTION("""COMPUTED_VALUE"""),"Have to avoid COMPILER DESIGN | CS 2210 because I will be taking it.")</f>
        <v>Have to avoid COMPILER DESIGN | CS 2210 because I will be taking it.</v>
      </c>
      <c r="BA19" s="2"/>
      <c r="BB19" s="2"/>
      <c r="BC19" s="2"/>
      <c r="BD19" s="2"/>
      <c r="BE19" s="2"/>
      <c r="BF19" s="2"/>
    </row>
    <row r="20">
      <c r="A20" s="3">
        <f>IFERROR(__xludf.DUMMYFUNCTION("""COMPUTED_VALUE"""),46248.57848969907)</f>
        <v>46248.57849</v>
      </c>
      <c r="B20" s="2" t="str">
        <f>IFERROR(__xludf.DUMMYFUNCTION("""COMPUTED_VALUE"""),"S")</f>
        <v>S</v>
      </c>
      <c r="C20" s="2" t="str">
        <f>IFERROR(__xludf.DUMMYFUNCTION("""COMPUTED_VALUE"""),"Q")</f>
        <v>Q</v>
      </c>
      <c r="D20" s="2" t="str">
        <f>IFERROR(__xludf.DUMMYFUNCTION("""COMPUTED_VALUE"""),"s@pitt.edu")</f>
        <v>s@pitt.edu</v>
      </c>
      <c r="E20" s="2" t="str">
        <f>IFERROR(__xludf.DUMMYFUNCTION("""COMPUTED_VALUE"""),"First Choice Group")</f>
        <v>First Choice Group</v>
      </c>
      <c r="F20" s="2" t="str">
        <f>IFERROR(__xludf.DUMMYFUNCTION("""COMPUTED_VALUE"""),"First Choice Group")</f>
        <v>First Choice Group</v>
      </c>
      <c r="G20" s="2" t="str">
        <f>IFERROR(__xludf.DUMMYFUNCTION("""COMPUTED_VALUE"""),"First Choice Group")</f>
        <v>First Choice Group</v>
      </c>
      <c r="H20" s="2" t="str">
        <f>IFERROR(__xludf.DUMMYFUNCTION("""COMPUTED_VALUE"""),"Cannot TA Group (explain below)")</f>
        <v>Cannot TA Group (explain below)</v>
      </c>
      <c r="I20" s="2" t="str">
        <f>IFERROR(__xludf.DUMMYFUNCTION("""COMPUTED_VALUE"""),"Cannot TA Group (explain below)")</f>
        <v>Cannot TA Group (explain below)</v>
      </c>
      <c r="J20" s="2" t="str">
        <f>IFERROR(__xludf.DUMMYFUNCTION("""COMPUTED_VALUE"""),"Third Choice Group")</f>
        <v>Third Choice Group</v>
      </c>
      <c r="K20" s="2" t="str">
        <f>IFERROR(__xludf.DUMMYFUNCTION("""COMPUTED_VALUE"""),"Cannot TA Group (explain below)")</f>
        <v>Cannot TA Group (explain below)</v>
      </c>
      <c r="L20" s="2" t="str">
        <f>IFERROR(__xludf.DUMMYFUNCTION("""COMPUTED_VALUE"""),"Second Choice")</f>
        <v>Second Choice</v>
      </c>
      <c r="M20" s="2" t="str">
        <f>IFERROR(__xludf.DUMMYFUNCTION("""COMPUTED_VALUE"""),"Cannot TA Group (explain below)")</f>
        <v>Cannot TA Group (explain below)</v>
      </c>
      <c r="N20" s="2" t="str">
        <f>IFERROR(__xludf.DUMMYFUNCTION("""COMPUTED_VALUE"""),"Cannot TA Group (explain below)")</f>
        <v>Cannot TA Group (explain below)</v>
      </c>
      <c r="O20" s="2" t="str">
        <f>IFERROR(__xludf.DUMMYFUNCTION("""COMPUTED_VALUE"""),"Third Choice Group")</f>
        <v>Third Choice Group</v>
      </c>
      <c r="P20" s="2" t="str">
        <f>IFERROR(__xludf.DUMMYFUNCTION("""COMPUTED_VALUE"""),"Cannot TA Group (explain below)")</f>
        <v>Cannot TA Group (explain below)</v>
      </c>
      <c r="Q20" s="2" t="str">
        <f>IFERROR(__xludf.DUMMYFUNCTION("""COMPUTED_VALUE"""),"First Choice Group")</f>
        <v>First Choice Group</v>
      </c>
      <c r="R20" s="2" t="str">
        <f>IFERROR(__xludf.DUMMYFUNCTION("""COMPUTED_VALUE"""),"Cannot TA Group (explain below)")</f>
        <v>Cannot TA Group (explain below)</v>
      </c>
      <c r="S20" s="2" t="str">
        <f>IFERROR(__xludf.DUMMYFUNCTION("""COMPUTED_VALUE"""),"Cannot TA Group (explain below)")</f>
        <v>Cannot TA Group (explain below)</v>
      </c>
      <c r="T20" s="2" t="str">
        <f>IFERROR(__xludf.DUMMYFUNCTION("""COMPUTED_VALUE"""),"Third Choice Group")</f>
        <v>Third Choice Group</v>
      </c>
      <c r="U20" s="2" t="str">
        <f>IFERROR(__xludf.DUMMYFUNCTION("""COMPUTED_VALUE"""),"Third Choice Group")</f>
        <v>Third Choice Group</v>
      </c>
      <c r="V20" s="2" t="str">
        <f>IFERROR(__xludf.DUMMYFUNCTION("""COMPUTED_VALUE"""),"First Choice Group")</f>
        <v>First Choice Group</v>
      </c>
      <c r="W20" s="2" t="str">
        <f>IFERROR(__xludf.DUMMYFUNCTION("""COMPUTED_VALUE"""),"Third Choice Group")</f>
        <v>Third Choice Group</v>
      </c>
      <c r="X20" s="2" t="str">
        <f>IFERROR(__xludf.DUMMYFUNCTION("""COMPUTED_VALUE"""),"Cannot TA Group (explain below)")</f>
        <v>Cannot TA Group (explain below)</v>
      </c>
      <c r="Y20" s="2" t="str">
        <f>IFERROR(__xludf.DUMMYFUNCTION("""COMPUTED_VALUE"""),"Cannot TA Group (explain below)")</f>
        <v>Cannot TA Group (explain below)</v>
      </c>
      <c r="Z20" s="2" t="str">
        <f>IFERROR(__xludf.DUMMYFUNCTION("""COMPUTED_VALUE"""),"First Choice Group")</f>
        <v>First Choice Group</v>
      </c>
      <c r="AA20" s="2" t="str">
        <f>IFERROR(__xludf.DUMMYFUNCTION("""COMPUTED_VALUE"""),"First Choice Group")</f>
        <v>First Choice Group</v>
      </c>
      <c r="AB20" s="2" t="str">
        <f>IFERROR(__xludf.DUMMYFUNCTION("""COMPUTED_VALUE"""),"Cannot TA Group (explain below)")</f>
        <v>Cannot TA Group (explain below)</v>
      </c>
      <c r="AC20" s="2" t="str">
        <f>IFERROR(__xludf.DUMMYFUNCTION("""COMPUTED_VALUE"""),"First Choice Group")</f>
        <v>First Choice Group</v>
      </c>
      <c r="AD20" s="2" t="str">
        <f>IFERROR(__xludf.DUMMYFUNCTION("""COMPUTED_VALUE"""),"Cannot TA Group (explain below)")</f>
        <v>Cannot TA Group (explain below)</v>
      </c>
      <c r="AE20" s="2" t="str">
        <f>IFERROR(__xludf.DUMMYFUNCTION("""COMPUTED_VALUE"""),"Second Choice")</f>
        <v>Second Choice</v>
      </c>
      <c r="AF20" s="2" t="str">
        <f>IFERROR(__xludf.DUMMYFUNCTION("""COMPUTED_VALUE"""),"Third Choice Group")</f>
        <v>Third Choice Group</v>
      </c>
      <c r="AG20" s="2" t="str">
        <f>IFERROR(__xludf.DUMMYFUNCTION("""COMPUTED_VALUE"""),"Cannot TA Group (explain below)")</f>
        <v>Cannot TA Group (explain below)</v>
      </c>
      <c r="AH20" s="2" t="str">
        <f>IFERROR(__xludf.DUMMYFUNCTION("""COMPUTED_VALUE"""),"Cannot TA Group (explain below)")</f>
        <v>Cannot TA Group (explain below)</v>
      </c>
      <c r="AI20" s="2" t="str">
        <f>IFERROR(__xludf.DUMMYFUNCTION("""COMPUTED_VALUE"""),"Second Choice")</f>
        <v>Second Choice</v>
      </c>
      <c r="AJ20" s="2" t="str">
        <f>IFERROR(__xludf.DUMMYFUNCTION("""COMPUTED_VALUE"""),"Third Choice Group")</f>
        <v>Third Choice Group</v>
      </c>
      <c r="AK20" s="2" t="str">
        <f>IFERROR(__xludf.DUMMYFUNCTION("""COMPUTED_VALUE"""),"Second Choice")</f>
        <v>Second Choice</v>
      </c>
      <c r="AL20" s="2" t="str">
        <f>IFERROR(__xludf.DUMMYFUNCTION("""COMPUTED_VALUE"""),"First Choice Group")</f>
        <v>First Choice Group</v>
      </c>
      <c r="AM20" s="2" t="str">
        <f>IFERROR(__xludf.DUMMYFUNCTION("""COMPUTED_VALUE"""),"Third Choice Group")</f>
        <v>Third Choice Group</v>
      </c>
      <c r="AN20" s="2" t="str">
        <f>IFERROR(__xludf.DUMMYFUNCTION("""COMPUTED_VALUE"""),"Cannot TA Group (explain below)")</f>
        <v>Cannot TA Group (explain below)</v>
      </c>
      <c r="AO20" s="2" t="str">
        <f>IFERROR(__xludf.DUMMYFUNCTION("""COMPUTED_VALUE"""),"Excellent")</f>
        <v>Excellent</v>
      </c>
      <c r="AP20" s="2" t="str">
        <f>IFERROR(__xludf.DUMMYFUNCTION("""COMPUTED_VALUE"""),"Satisfactory")</f>
        <v>Satisfactory</v>
      </c>
      <c r="AQ20" s="2" t="str">
        <f>IFERROR(__xludf.DUMMYFUNCTION("""COMPUTED_VALUE"""),"Satisfactory")</f>
        <v>Satisfactory</v>
      </c>
      <c r="AR20" s="2" t="str">
        <f>IFERROR(__xludf.DUMMYFUNCTION("""COMPUTED_VALUE"""),"Satisfactory")</f>
        <v>Satisfactory</v>
      </c>
      <c r="AS20" s="2" t="str">
        <f>IFERROR(__xludf.DUMMYFUNCTION("""COMPUTED_VALUE"""),"Satisfactory")</f>
        <v>Satisfactory</v>
      </c>
      <c r="AT20" s="2" t="str">
        <f>IFERROR(__xludf.DUMMYFUNCTION("""COMPUTED_VALUE"""),"Strong")</f>
        <v>Strong</v>
      </c>
      <c r="AU20" s="2" t="str">
        <f>IFERROR(__xludf.DUMMYFUNCTION("""COMPUTED_VALUE"""),"Strong")</f>
        <v>Strong</v>
      </c>
      <c r="AV20" s="2" t="str">
        <f>IFERROR(__xludf.DUMMYFUNCTION("""COMPUTED_VALUE"""),"Unsatisfactory")</f>
        <v>Unsatisfactory</v>
      </c>
      <c r="AW20" s="2" t="str">
        <f>IFERROR(__xludf.DUMMYFUNCTION("""COMPUTED_VALUE"""),"I only have meetings scheduled at these times:
Monday: 3:30–4:30 PM
Wednesday: 12:30–1:30 PM
Thursday: 4:30–5:30 PM
Friday: Colloquium, 12:30–1:00 PM")</f>
        <v>I only have meetings scheduled at these times:
Monday: 3:30–4:30 PM
Wednesday: 12:30–1:30 PM
Thursday: 4:30–5:30 PM
Friday: Colloquium, 12:30–1:00 PM</v>
      </c>
      <c r="AX20" s="2" t="str">
        <f>IFERROR(__xludf.DUMMYFUNCTION("""COMPUTED_VALUE"""),"NA")</f>
        <v>NA</v>
      </c>
      <c r="AY20" s="2" t="str">
        <f>IFERROR(__xludf.DUMMYFUNCTION("""COMPUTED_VALUE"""),"Funding, Teaching experience, Improve public speaking or other skills")</f>
        <v>Funding, Teaching experience, Improve public speaking or other skills</v>
      </c>
      <c r="AZ20" s="2" t="str">
        <f>IFERROR(__xludf.DUMMYFUNCTION("""COMPUTED_VALUE"""),"I enjoy working on courses related to NLP (CS 1671/2071, CS 2731), Data Science (CS 1656/2056), and Machine Learning (CS 1675/2075). I have taken these courses before and have also served as a TA for some of them, so I would like to teach them again.  I a"&amp;"m also interested in courses Programming Languages for Web Applications (CS 1520) and compiler (cs 2210). I have taken these courses before and have also served as a TA for some of them, and I really enjoyed teaching them.")</f>
        <v>I enjoy working on courses related to NLP (CS 1671/2071, CS 2731), Data Science (CS 1656/2056), and Machine Learning (CS 1675/2075). I have taken these courses before and have also served as a TA for some of them, so I would like to teach them again.  I am also interested in courses Programming Languages for Web Applications (CS 1520) and compiler (cs 2210). I have taken these courses before and have also served as a TA for some of them, and I really enjoyed teaching them.</v>
      </c>
      <c r="BA20" s="2"/>
      <c r="BB20" s="2"/>
      <c r="BC20" s="2"/>
      <c r="BD20" s="2"/>
      <c r="BE20" s="2"/>
      <c r="BF20" s="2"/>
    </row>
    <row r="21">
      <c r="A21" s="3">
        <f>IFERROR(__xludf.DUMMYFUNCTION("""COMPUTED_VALUE"""),46250.80434508102)</f>
        <v>46250.80435</v>
      </c>
      <c r="B21" s="2" t="str">
        <f>IFERROR(__xludf.DUMMYFUNCTION("""COMPUTED_VALUE"""),"T")</f>
        <v>T</v>
      </c>
      <c r="C21" s="2" t="str">
        <f>IFERROR(__xludf.DUMMYFUNCTION("""COMPUTED_VALUE"""),"R")</f>
        <v>R</v>
      </c>
      <c r="D21" s="2" t="str">
        <f>IFERROR(__xludf.DUMMYFUNCTION("""COMPUTED_VALUE"""),"t@pitt.edu")</f>
        <v>t@pitt.edu</v>
      </c>
      <c r="E21" s="2" t="str">
        <f>IFERROR(__xludf.DUMMYFUNCTION("""COMPUTED_VALUE"""),"Third Choice Group")</f>
        <v>Third Choice Group</v>
      </c>
      <c r="F21" s="2" t="str">
        <f>IFERROR(__xludf.DUMMYFUNCTION("""COMPUTED_VALUE"""),"Second Choice")</f>
        <v>Second Choice</v>
      </c>
      <c r="G21" s="2" t="str">
        <f>IFERROR(__xludf.DUMMYFUNCTION("""COMPUTED_VALUE"""),"Third Choice Group")</f>
        <v>Third Choice Group</v>
      </c>
      <c r="H21" s="2" t="str">
        <f>IFERROR(__xludf.DUMMYFUNCTION("""COMPUTED_VALUE"""),"Second Choice")</f>
        <v>Second Choice</v>
      </c>
      <c r="I21" s="2" t="str">
        <f>IFERROR(__xludf.DUMMYFUNCTION("""COMPUTED_VALUE"""),"Third Choice Group")</f>
        <v>Third Choice Group</v>
      </c>
      <c r="J21" s="2" t="str">
        <f>IFERROR(__xludf.DUMMYFUNCTION("""COMPUTED_VALUE"""),"Third Choice Group")</f>
        <v>Third Choice Group</v>
      </c>
      <c r="K21" s="2" t="str">
        <f>IFERROR(__xludf.DUMMYFUNCTION("""COMPUTED_VALUE"""),"Third Choice Group")</f>
        <v>Third Choice Group</v>
      </c>
      <c r="L21" s="2" t="str">
        <f>IFERROR(__xludf.DUMMYFUNCTION("""COMPUTED_VALUE"""),"Third Choice Group")</f>
        <v>Third Choice Group</v>
      </c>
      <c r="M21" s="2" t="str">
        <f>IFERROR(__xludf.DUMMYFUNCTION("""COMPUTED_VALUE"""),"Second Choice")</f>
        <v>Second Choice</v>
      </c>
      <c r="N21" s="2" t="str">
        <f>IFERROR(__xludf.DUMMYFUNCTION("""COMPUTED_VALUE"""),"Second Choice")</f>
        <v>Second Choice</v>
      </c>
      <c r="O21" s="2" t="str">
        <f>IFERROR(__xludf.DUMMYFUNCTION("""COMPUTED_VALUE"""),"Second Choice")</f>
        <v>Second Choice</v>
      </c>
      <c r="P21" s="2" t="str">
        <f>IFERROR(__xludf.DUMMYFUNCTION("""COMPUTED_VALUE"""),"First Choice Group")</f>
        <v>First Choice Group</v>
      </c>
      <c r="Q21" s="2" t="str">
        <f>IFERROR(__xludf.DUMMYFUNCTION("""COMPUTED_VALUE"""),"Third Choice Group")</f>
        <v>Third Choice Group</v>
      </c>
      <c r="R21" s="2" t="str">
        <f>IFERROR(__xludf.DUMMYFUNCTION("""COMPUTED_VALUE"""),"Third Choice Group")</f>
        <v>Third Choice Group</v>
      </c>
      <c r="S21" s="2" t="str">
        <f>IFERROR(__xludf.DUMMYFUNCTION("""COMPUTED_VALUE"""),"Third Choice Group")</f>
        <v>Third Choice Group</v>
      </c>
      <c r="T21" s="2" t="str">
        <f>IFERROR(__xludf.DUMMYFUNCTION("""COMPUTED_VALUE"""),"Second Choice")</f>
        <v>Second Choice</v>
      </c>
      <c r="U21" s="2" t="str">
        <f>IFERROR(__xludf.DUMMYFUNCTION("""COMPUTED_VALUE"""),"Second Choice")</f>
        <v>Second Choice</v>
      </c>
      <c r="V21" s="2" t="str">
        <f>IFERROR(__xludf.DUMMYFUNCTION("""COMPUTED_VALUE"""),"Second Choice")</f>
        <v>Second Choice</v>
      </c>
      <c r="W21" s="2" t="str">
        <f>IFERROR(__xludf.DUMMYFUNCTION("""COMPUTED_VALUE"""),"Third Choice Group")</f>
        <v>Third Choice Group</v>
      </c>
      <c r="X21" s="2" t="str">
        <f>IFERROR(__xludf.DUMMYFUNCTION("""COMPUTED_VALUE"""),"First Choice Group")</f>
        <v>First Choice Group</v>
      </c>
      <c r="Y21" s="2" t="str">
        <f>IFERROR(__xludf.DUMMYFUNCTION("""COMPUTED_VALUE"""),"First Choice Group")</f>
        <v>First Choice Group</v>
      </c>
      <c r="Z21" s="2" t="str">
        <f>IFERROR(__xludf.DUMMYFUNCTION("""COMPUTED_VALUE"""),"First Choice Group")</f>
        <v>First Choice Group</v>
      </c>
      <c r="AA21" s="2" t="str">
        <f>IFERROR(__xludf.DUMMYFUNCTION("""COMPUTED_VALUE"""),"Second Choice")</f>
        <v>Second Choice</v>
      </c>
      <c r="AB21" s="2" t="str">
        <f>IFERROR(__xludf.DUMMYFUNCTION("""COMPUTED_VALUE"""),"Second Choice")</f>
        <v>Second Choice</v>
      </c>
      <c r="AC21" s="2" t="str">
        <f>IFERROR(__xludf.DUMMYFUNCTION("""COMPUTED_VALUE"""),"First Choice Group")</f>
        <v>First Choice Group</v>
      </c>
      <c r="AD21" s="2" t="str">
        <f>IFERROR(__xludf.DUMMYFUNCTION("""COMPUTED_VALUE"""),"First Choice Group")</f>
        <v>First Choice Group</v>
      </c>
      <c r="AE21" s="2" t="str">
        <f>IFERROR(__xludf.DUMMYFUNCTION("""COMPUTED_VALUE"""),"First Choice Group")</f>
        <v>First Choice Group</v>
      </c>
      <c r="AF21" s="2" t="str">
        <f>IFERROR(__xludf.DUMMYFUNCTION("""COMPUTED_VALUE"""),"First Choice Group")</f>
        <v>First Choice Group</v>
      </c>
      <c r="AG21" s="2" t="str">
        <f>IFERROR(__xludf.DUMMYFUNCTION("""COMPUTED_VALUE"""),"First Choice Group")</f>
        <v>First Choice Group</v>
      </c>
      <c r="AH21" s="2" t="str">
        <f>IFERROR(__xludf.DUMMYFUNCTION("""COMPUTED_VALUE"""),"First Choice Group")</f>
        <v>First Choice Group</v>
      </c>
      <c r="AI21" s="2" t="str">
        <f>IFERROR(__xludf.DUMMYFUNCTION("""COMPUTED_VALUE"""),"Third Choice Group")</f>
        <v>Third Choice Group</v>
      </c>
      <c r="AJ21" s="2" t="str">
        <f>IFERROR(__xludf.DUMMYFUNCTION("""COMPUTED_VALUE"""),"Second Choice")</f>
        <v>Second Choice</v>
      </c>
      <c r="AK21" s="2" t="str">
        <f>IFERROR(__xludf.DUMMYFUNCTION("""COMPUTED_VALUE"""),"First Choice Group")</f>
        <v>First Choice Group</v>
      </c>
      <c r="AL21" s="2" t="str">
        <f>IFERROR(__xludf.DUMMYFUNCTION("""COMPUTED_VALUE"""),"First Choice Group")</f>
        <v>First Choice Group</v>
      </c>
      <c r="AM21" s="2" t="str">
        <f>IFERROR(__xludf.DUMMYFUNCTION("""COMPUTED_VALUE"""),"First Choice Group")</f>
        <v>First Choice Group</v>
      </c>
      <c r="AN21" s="2" t="str">
        <f>IFERROR(__xludf.DUMMYFUNCTION("""COMPUTED_VALUE"""),"Second Choice")</f>
        <v>Second Choice</v>
      </c>
      <c r="AO21" s="2" t="str">
        <f>IFERROR(__xludf.DUMMYFUNCTION("""COMPUTED_VALUE"""),"Strong")</f>
        <v>Strong</v>
      </c>
      <c r="AP21" s="2" t="str">
        <f>IFERROR(__xludf.DUMMYFUNCTION("""COMPUTED_VALUE"""),"Satisfactory")</f>
        <v>Satisfactory</v>
      </c>
      <c r="AQ21" s="2" t="str">
        <f>IFERROR(__xludf.DUMMYFUNCTION("""COMPUTED_VALUE"""),"Satisfactory")</f>
        <v>Satisfactory</v>
      </c>
      <c r="AR21" s="2" t="str">
        <f>IFERROR(__xludf.DUMMYFUNCTION("""COMPUTED_VALUE"""),"Strong")</f>
        <v>Strong</v>
      </c>
      <c r="AS21" s="2" t="str">
        <f>IFERROR(__xludf.DUMMYFUNCTION("""COMPUTED_VALUE"""),"Strong")</f>
        <v>Strong</v>
      </c>
      <c r="AT21" s="2" t="str">
        <f>IFERROR(__xludf.DUMMYFUNCTION("""COMPUTED_VALUE"""),"Strong")</f>
        <v>Strong</v>
      </c>
      <c r="AU21" s="2" t="str">
        <f>IFERROR(__xludf.DUMMYFUNCTION("""COMPUTED_VALUE"""),"Satisfactory")</f>
        <v>Satisfactory</v>
      </c>
      <c r="AV21" s="2" t="str">
        <f>IFERROR(__xludf.DUMMYFUNCTION("""COMPUTED_VALUE"""),"Strong")</f>
        <v>Strong</v>
      </c>
      <c r="AW21" s="2" t="str">
        <f>IFERROR(__xludf.DUMMYFUNCTION("""COMPUTED_VALUE"""),"TBD")</f>
        <v>TBD</v>
      </c>
      <c r="AX21" s="2" t="str">
        <f>IFERROR(__xludf.DUMMYFUNCTION("""COMPUTED_VALUE"""),"TBD")</f>
        <v>TBD</v>
      </c>
      <c r="AY21" s="2" t="str">
        <f>IFERROR(__xludf.DUMMYFUNCTION("""COMPUTED_VALUE"""),"Funding, Teaching experience, Improve public speaking or other skills, Learn a new topic")</f>
        <v>Funding, Teaching experience, Improve public speaking or other skills, Learn a new topic</v>
      </c>
      <c r="AZ21" s="2" t="str">
        <f>IFERROR(__xludf.DUMMYFUNCTION("""COMPUTED_VALUE"""),"NA")</f>
        <v>NA</v>
      </c>
      <c r="BA21" s="2"/>
      <c r="BB21" s="2"/>
      <c r="BC21" s="2"/>
      <c r="BD21" s="2"/>
      <c r="BE21" s="2"/>
      <c r="BF21" s="2"/>
    </row>
    <row r="22">
      <c r="A22" s="3">
        <f>IFERROR(__xludf.DUMMYFUNCTION("""COMPUTED_VALUE"""),46251.43337564815)</f>
        <v>46251.43338</v>
      </c>
      <c r="B22" s="2" t="str">
        <f>IFERROR(__xludf.DUMMYFUNCTION("""COMPUTED_VALUE"""),"U")</f>
        <v>U</v>
      </c>
      <c r="C22" s="2" t="str">
        <f>IFERROR(__xludf.DUMMYFUNCTION("""COMPUTED_VALUE"""),"S")</f>
        <v>S</v>
      </c>
      <c r="D22" s="2" t="str">
        <f>IFERROR(__xludf.DUMMYFUNCTION("""COMPUTED_VALUE"""),"u@pitt.edu")</f>
        <v>u@pitt.edu</v>
      </c>
      <c r="E22" s="2" t="str">
        <f>IFERROR(__xludf.DUMMYFUNCTION("""COMPUTED_VALUE"""),"First Choice Group")</f>
        <v>First Choice Group</v>
      </c>
      <c r="F22" s="2" t="str">
        <f>IFERROR(__xludf.DUMMYFUNCTION("""COMPUTED_VALUE"""),"Second Choice")</f>
        <v>Second Choice</v>
      </c>
      <c r="G22" s="2" t="str">
        <f>IFERROR(__xludf.DUMMYFUNCTION("""COMPUTED_VALUE"""),"First Choice Group")</f>
        <v>First Choice Group</v>
      </c>
      <c r="H22" s="2" t="str">
        <f>IFERROR(__xludf.DUMMYFUNCTION("""COMPUTED_VALUE"""),"Second Choice")</f>
        <v>Second Choice</v>
      </c>
      <c r="I22" s="2" t="str">
        <f>IFERROR(__xludf.DUMMYFUNCTION("""COMPUTED_VALUE"""),"Second Choice")</f>
        <v>Second Choice</v>
      </c>
      <c r="J22" s="2" t="str">
        <f>IFERROR(__xludf.DUMMYFUNCTION("""COMPUTED_VALUE"""),"Second Choice")</f>
        <v>Second Choice</v>
      </c>
      <c r="K22" s="2" t="str">
        <f>IFERROR(__xludf.DUMMYFUNCTION("""COMPUTED_VALUE"""),"Second Choice")</f>
        <v>Second Choice</v>
      </c>
      <c r="L22" s="2" t="str">
        <f>IFERROR(__xludf.DUMMYFUNCTION("""COMPUTED_VALUE"""),"Third Choice Group")</f>
        <v>Third Choice Group</v>
      </c>
      <c r="M22" s="2" t="str">
        <f>IFERROR(__xludf.DUMMYFUNCTION("""COMPUTED_VALUE"""),"Second Choice")</f>
        <v>Second Choice</v>
      </c>
      <c r="N22" s="2" t="str">
        <f>IFERROR(__xludf.DUMMYFUNCTION("""COMPUTED_VALUE"""),"Second Choice")</f>
        <v>Second Choice</v>
      </c>
      <c r="O22" s="2" t="str">
        <f>IFERROR(__xludf.DUMMYFUNCTION("""COMPUTED_VALUE"""),"Third Choice Group")</f>
        <v>Third Choice Group</v>
      </c>
      <c r="P22" s="2" t="str">
        <f>IFERROR(__xludf.DUMMYFUNCTION("""COMPUTED_VALUE"""),"Second Choice")</f>
        <v>Second Choice</v>
      </c>
      <c r="Q22" s="2" t="str">
        <f>IFERROR(__xludf.DUMMYFUNCTION("""COMPUTED_VALUE"""),"Third Choice Group")</f>
        <v>Third Choice Group</v>
      </c>
      <c r="R22" s="2" t="str">
        <f>IFERROR(__xludf.DUMMYFUNCTION("""COMPUTED_VALUE"""),"Third Choice Group")</f>
        <v>Third Choice Group</v>
      </c>
      <c r="S22" s="2" t="str">
        <f>IFERROR(__xludf.DUMMYFUNCTION("""COMPUTED_VALUE"""),"Second Choice")</f>
        <v>Second Choice</v>
      </c>
      <c r="T22" s="2" t="str">
        <f>IFERROR(__xludf.DUMMYFUNCTION("""COMPUTED_VALUE"""),"Second Choice")</f>
        <v>Second Choice</v>
      </c>
      <c r="U22" s="2" t="str">
        <f>IFERROR(__xludf.DUMMYFUNCTION("""COMPUTED_VALUE"""),"Third Choice Group")</f>
        <v>Third Choice Group</v>
      </c>
      <c r="V22" s="2" t="str">
        <f>IFERROR(__xludf.DUMMYFUNCTION("""COMPUTED_VALUE"""),"Third Choice Group")</f>
        <v>Third Choice Group</v>
      </c>
      <c r="W22" s="2" t="str">
        <f>IFERROR(__xludf.DUMMYFUNCTION("""COMPUTED_VALUE"""),"Third Choice Group")</f>
        <v>Third Choice Group</v>
      </c>
      <c r="X22" s="2" t="str">
        <f>IFERROR(__xludf.DUMMYFUNCTION("""COMPUTED_VALUE"""),"Third Choice Group")</f>
        <v>Third Choice Group</v>
      </c>
      <c r="Y22" s="2" t="str">
        <f>IFERROR(__xludf.DUMMYFUNCTION("""COMPUTED_VALUE"""),"Third Choice Group")</f>
        <v>Third Choice Group</v>
      </c>
      <c r="Z22" s="2" t="str">
        <f>IFERROR(__xludf.DUMMYFUNCTION("""COMPUTED_VALUE"""),"Second Choice")</f>
        <v>Second Choice</v>
      </c>
      <c r="AA22" s="2" t="str">
        <f>IFERROR(__xludf.DUMMYFUNCTION("""COMPUTED_VALUE"""),"Third Choice Group")</f>
        <v>Third Choice Group</v>
      </c>
      <c r="AB22" s="2" t="str">
        <f>IFERROR(__xludf.DUMMYFUNCTION("""COMPUTED_VALUE"""),"Third Choice Group")</f>
        <v>Third Choice Group</v>
      </c>
      <c r="AC22" s="2" t="str">
        <f>IFERROR(__xludf.DUMMYFUNCTION("""COMPUTED_VALUE"""),"Third Choice Group")</f>
        <v>Third Choice Group</v>
      </c>
      <c r="AD22" s="2" t="str">
        <f>IFERROR(__xludf.DUMMYFUNCTION("""COMPUTED_VALUE"""),"Third Choice Group")</f>
        <v>Third Choice Group</v>
      </c>
      <c r="AE22" s="2" t="str">
        <f>IFERROR(__xludf.DUMMYFUNCTION("""COMPUTED_VALUE"""),"Second Choice")</f>
        <v>Second Choice</v>
      </c>
      <c r="AF22" s="2" t="str">
        <f>IFERROR(__xludf.DUMMYFUNCTION("""COMPUTED_VALUE"""),"Third Choice Group")</f>
        <v>Third Choice Group</v>
      </c>
      <c r="AG22" s="2" t="str">
        <f>IFERROR(__xludf.DUMMYFUNCTION("""COMPUTED_VALUE"""),"Third Choice Group")</f>
        <v>Third Choice Group</v>
      </c>
      <c r="AH22" s="2" t="str">
        <f>IFERROR(__xludf.DUMMYFUNCTION("""COMPUTED_VALUE"""),"Third Choice Group")</f>
        <v>Third Choice Group</v>
      </c>
      <c r="AI22" s="2" t="str">
        <f>IFERROR(__xludf.DUMMYFUNCTION("""COMPUTED_VALUE"""),"Third Choice Group")</f>
        <v>Third Choice Group</v>
      </c>
      <c r="AJ22" s="2" t="str">
        <f>IFERROR(__xludf.DUMMYFUNCTION("""COMPUTED_VALUE"""),"Third Choice Group")</f>
        <v>Third Choice Group</v>
      </c>
      <c r="AK22" s="2" t="str">
        <f>IFERROR(__xludf.DUMMYFUNCTION("""COMPUTED_VALUE"""),"Third Choice Group")</f>
        <v>Third Choice Group</v>
      </c>
      <c r="AL22" s="2" t="str">
        <f>IFERROR(__xludf.DUMMYFUNCTION("""COMPUTED_VALUE"""),"Third Choice Group")</f>
        <v>Third Choice Group</v>
      </c>
      <c r="AM22" s="2" t="str">
        <f>IFERROR(__xludf.DUMMYFUNCTION("""COMPUTED_VALUE"""),"Third Choice Group")</f>
        <v>Third Choice Group</v>
      </c>
      <c r="AN22" s="2" t="str">
        <f>IFERROR(__xludf.DUMMYFUNCTION("""COMPUTED_VALUE"""),"Third Choice Group")</f>
        <v>Third Choice Group</v>
      </c>
      <c r="AO22" s="2" t="str">
        <f>IFERROR(__xludf.DUMMYFUNCTION("""COMPUTED_VALUE"""),"Excellent")</f>
        <v>Excellent</v>
      </c>
      <c r="AP22" s="2" t="str">
        <f>IFERROR(__xludf.DUMMYFUNCTION("""COMPUTED_VALUE"""),"Strong")</f>
        <v>Strong</v>
      </c>
      <c r="AQ22" s="2" t="str">
        <f>IFERROR(__xludf.DUMMYFUNCTION("""COMPUTED_VALUE"""),"Strong")</f>
        <v>Strong</v>
      </c>
      <c r="AR22" s="2" t="str">
        <f>IFERROR(__xludf.DUMMYFUNCTION("""COMPUTED_VALUE"""),"Satisfactory")</f>
        <v>Satisfactory</v>
      </c>
      <c r="AS22" s="2" t="str">
        <f>IFERROR(__xludf.DUMMYFUNCTION("""COMPUTED_VALUE"""),"Strong")</f>
        <v>Strong</v>
      </c>
      <c r="AT22" s="2" t="str">
        <f>IFERROR(__xludf.DUMMYFUNCTION("""COMPUTED_VALUE"""),"Satisfactory")</f>
        <v>Satisfactory</v>
      </c>
      <c r="AU22" s="2" t="str">
        <f>IFERROR(__xludf.DUMMYFUNCTION("""COMPUTED_VALUE"""),"Excellent")</f>
        <v>Excellent</v>
      </c>
      <c r="AV22" s="2" t="str">
        <f>IFERROR(__xludf.DUMMYFUNCTION("""COMPUTED_VALUE"""),"Strong")</f>
        <v>Strong</v>
      </c>
      <c r="AW22" s="2" t="str">
        <f>IFERROR(__xludf.DUMMYFUNCTION("""COMPUTED_VALUE"""),"N/A")</f>
        <v>N/A</v>
      </c>
      <c r="AX22" s="2" t="str">
        <f>IFERROR(__xludf.DUMMYFUNCTION("""COMPUTED_VALUE"""),"N/A")</f>
        <v>N/A</v>
      </c>
      <c r="AY22" s="2" t="str">
        <f>IFERROR(__xludf.DUMMYFUNCTION("""COMPUTED_VALUE"""),"Funding, Teaching experience")</f>
        <v>Funding, Teaching experience</v>
      </c>
      <c r="AZ22" s="2" t="str">
        <f>IFERROR(__xludf.DUMMYFUNCTION("""COMPUTED_VALUE"""),"I did not take any quantum computing classes before, try to avoid being a TA for this course")</f>
        <v>I did not take any quantum computing classes before, try to avoid being a TA for this course</v>
      </c>
      <c r="BA22" s="2"/>
      <c r="BB22" s="2"/>
      <c r="BC22" s="2"/>
      <c r="BD22" s="2"/>
      <c r="BE22" s="2"/>
      <c r="BF22" s="2"/>
    </row>
    <row r="23">
      <c r="A23" s="3">
        <f>IFERROR(__xludf.DUMMYFUNCTION("""COMPUTED_VALUE"""),46253.64262190972)</f>
        <v>46253.64262</v>
      </c>
      <c r="B23" s="2" t="str">
        <f>IFERROR(__xludf.DUMMYFUNCTION("""COMPUTED_VALUE"""),"V")</f>
        <v>V</v>
      </c>
      <c r="C23" s="2" t="str">
        <f>IFERROR(__xludf.DUMMYFUNCTION("""COMPUTED_VALUE"""),"T")</f>
        <v>T</v>
      </c>
      <c r="D23" s="2" t="str">
        <f>IFERROR(__xludf.DUMMYFUNCTION("""COMPUTED_VALUE"""),"v@pitt.edu")</f>
        <v>v@pitt.edu</v>
      </c>
      <c r="E23" s="2" t="str">
        <f>IFERROR(__xludf.DUMMYFUNCTION("""COMPUTED_VALUE"""),"Third Choice Group")</f>
        <v>Third Choice Group</v>
      </c>
      <c r="F23" s="2" t="str">
        <f>IFERROR(__xludf.DUMMYFUNCTION("""COMPUTED_VALUE"""),"Third Choice Group")</f>
        <v>Third Choice Group</v>
      </c>
      <c r="G23" s="2" t="str">
        <f>IFERROR(__xludf.DUMMYFUNCTION("""COMPUTED_VALUE"""),"Third Choice Group")</f>
        <v>Third Choice Group</v>
      </c>
      <c r="H23" s="2" t="str">
        <f>IFERROR(__xludf.DUMMYFUNCTION("""COMPUTED_VALUE"""),"First Choice Group")</f>
        <v>First Choice Group</v>
      </c>
      <c r="I23" s="2" t="str">
        <f>IFERROR(__xludf.DUMMYFUNCTION("""COMPUTED_VALUE"""),"Third Choice Group")</f>
        <v>Third Choice Group</v>
      </c>
      <c r="J23" s="2" t="str">
        <f>IFERROR(__xludf.DUMMYFUNCTION("""COMPUTED_VALUE"""),"Third Choice Group")</f>
        <v>Third Choice Group</v>
      </c>
      <c r="K23" s="2" t="str">
        <f>IFERROR(__xludf.DUMMYFUNCTION("""COMPUTED_VALUE"""),"Third Choice Group")</f>
        <v>Third Choice Group</v>
      </c>
      <c r="L23" s="2" t="str">
        <f>IFERROR(__xludf.DUMMYFUNCTION("""COMPUTED_VALUE"""),"Third Choice Group")</f>
        <v>Third Choice Group</v>
      </c>
      <c r="M23" s="2" t="str">
        <f>IFERROR(__xludf.DUMMYFUNCTION("""COMPUTED_VALUE"""),"Third Choice Group")</f>
        <v>Third Choice Group</v>
      </c>
      <c r="N23" s="2" t="str">
        <f>IFERROR(__xludf.DUMMYFUNCTION("""COMPUTED_VALUE"""),"First Choice Group")</f>
        <v>First Choice Group</v>
      </c>
      <c r="O23" s="2" t="str">
        <f>IFERROR(__xludf.DUMMYFUNCTION("""COMPUTED_VALUE"""),"First Choice Group")</f>
        <v>First Choice Group</v>
      </c>
      <c r="P23" s="2" t="str">
        <f>IFERROR(__xludf.DUMMYFUNCTION("""COMPUTED_VALUE"""),"First Choice Group")</f>
        <v>First Choice Group</v>
      </c>
      <c r="Q23" s="2" t="str">
        <f>IFERROR(__xludf.DUMMYFUNCTION("""COMPUTED_VALUE"""),"Third Choice Group")</f>
        <v>Third Choice Group</v>
      </c>
      <c r="R23" s="2" t="str">
        <f>IFERROR(__xludf.DUMMYFUNCTION("""COMPUTED_VALUE"""),"Third Choice Group")</f>
        <v>Third Choice Group</v>
      </c>
      <c r="S23" s="2" t="str">
        <f>IFERROR(__xludf.DUMMYFUNCTION("""COMPUTED_VALUE"""),"Third Choice Group")</f>
        <v>Third Choice Group</v>
      </c>
      <c r="T23" s="2" t="str">
        <f>IFERROR(__xludf.DUMMYFUNCTION("""COMPUTED_VALUE"""),"Third Choice Group")</f>
        <v>Third Choice Group</v>
      </c>
      <c r="U23" s="2" t="str">
        <f>IFERROR(__xludf.DUMMYFUNCTION("""COMPUTED_VALUE"""),"Third Choice Group")</f>
        <v>Third Choice Group</v>
      </c>
      <c r="V23" s="2" t="str">
        <f>IFERROR(__xludf.DUMMYFUNCTION("""COMPUTED_VALUE"""),"Second Choice")</f>
        <v>Second Choice</v>
      </c>
      <c r="W23" s="2" t="str">
        <f>IFERROR(__xludf.DUMMYFUNCTION("""COMPUTED_VALUE"""),"Third Choice Group")</f>
        <v>Third Choice Group</v>
      </c>
      <c r="X23" s="2" t="str">
        <f>IFERROR(__xludf.DUMMYFUNCTION("""COMPUTED_VALUE"""),"Third Choice Group")</f>
        <v>Third Choice Group</v>
      </c>
      <c r="Y23" s="2" t="str">
        <f>IFERROR(__xludf.DUMMYFUNCTION("""COMPUTED_VALUE"""),"Third Choice Group")</f>
        <v>Third Choice Group</v>
      </c>
      <c r="Z23" s="2" t="str">
        <f>IFERROR(__xludf.DUMMYFUNCTION("""COMPUTED_VALUE"""),"Third Choice Group")</f>
        <v>Third Choice Group</v>
      </c>
      <c r="AA23" s="2" t="str">
        <f>IFERROR(__xludf.DUMMYFUNCTION("""COMPUTED_VALUE"""),"Third Choice Group")</f>
        <v>Third Choice Group</v>
      </c>
      <c r="AB23" s="2" t="str">
        <f>IFERROR(__xludf.DUMMYFUNCTION("""COMPUTED_VALUE"""),"Third Choice Group")</f>
        <v>Third Choice Group</v>
      </c>
      <c r="AC23" s="2" t="str">
        <f>IFERROR(__xludf.DUMMYFUNCTION("""COMPUTED_VALUE"""),"Third Choice Group")</f>
        <v>Third Choice Group</v>
      </c>
      <c r="AD23" s="2" t="str">
        <f>IFERROR(__xludf.DUMMYFUNCTION("""COMPUTED_VALUE"""),"Third Choice Group")</f>
        <v>Third Choice Group</v>
      </c>
      <c r="AE23" s="2" t="str">
        <f>IFERROR(__xludf.DUMMYFUNCTION("""COMPUTED_VALUE"""),"Second Choice")</f>
        <v>Second Choice</v>
      </c>
      <c r="AF23" s="2" t="str">
        <f>IFERROR(__xludf.DUMMYFUNCTION("""COMPUTED_VALUE"""),"Third Choice Group")</f>
        <v>Third Choice Group</v>
      </c>
      <c r="AG23" s="2" t="str">
        <f>IFERROR(__xludf.DUMMYFUNCTION("""COMPUTED_VALUE"""),"Third Choice Group")</f>
        <v>Third Choice Group</v>
      </c>
      <c r="AH23" s="2" t="str">
        <f>IFERROR(__xludf.DUMMYFUNCTION("""COMPUTED_VALUE"""),"Third Choice Group")</f>
        <v>Third Choice Group</v>
      </c>
      <c r="AI23" s="2" t="str">
        <f>IFERROR(__xludf.DUMMYFUNCTION("""COMPUTED_VALUE"""),"Third Choice Group")</f>
        <v>Third Choice Group</v>
      </c>
      <c r="AJ23" s="2" t="str">
        <f>IFERROR(__xludf.DUMMYFUNCTION("""COMPUTED_VALUE"""),"Second Choice")</f>
        <v>Second Choice</v>
      </c>
      <c r="AK23" s="2" t="str">
        <f>IFERROR(__xludf.DUMMYFUNCTION("""COMPUTED_VALUE"""),"Second Choice")</f>
        <v>Second Choice</v>
      </c>
      <c r="AL23" s="2" t="str">
        <f>IFERROR(__xludf.DUMMYFUNCTION("""COMPUTED_VALUE"""),"Third Choice Group")</f>
        <v>Third Choice Group</v>
      </c>
      <c r="AM23" s="2" t="str">
        <f>IFERROR(__xludf.DUMMYFUNCTION("""COMPUTED_VALUE"""),"Second Choice")</f>
        <v>Second Choice</v>
      </c>
      <c r="AN23" s="2" t="str">
        <f>IFERROR(__xludf.DUMMYFUNCTION("""COMPUTED_VALUE"""),"First Choice Group")</f>
        <v>First Choice Group</v>
      </c>
      <c r="AO23" s="2" t="str">
        <f>IFERROR(__xludf.DUMMYFUNCTION("""COMPUTED_VALUE"""),"Strong")</f>
        <v>Strong</v>
      </c>
      <c r="AP23" s="2" t="str">
        <f>IFERROR(__xludf.DUMMYFUNCTION("""COMPUTED_VALUE"""),"Satisfactory")</f>
        <v>Satisfactory</v>
      </c>
      <c r="AQ23" s="2" t="str">
        <f>IFERROR(__xludf.DUMMYFUNCTION("""COMPUTED_VALUE"""),"Strong")</f>
        <v>Strong</v>
      </c>
      <c r="AR23" s="2" t="str">
        <f>IFERROR(__xludf.DUMMYFUNCTION("""COMPUTED_VALUE"""),"Excellent")</f>
        <v>Excellent</v>
      </c>
      <c r="AS23" s="2" t="str">
        <f>IFERROR(__xludf.DUMMYFUNCTION("""COMPUTED_VALUE"""),"Strong")</f>
        <v>Strong</v>
      </c>
      <c r="AT23" s="2" t="str">
        <f>IFERROR(__xludf.DUMMYFUNCTION("""COMPUTED_VALUE"""),"Strong")</f>
        <v>Strong</v>
      </c>
      <c r="AU23" s="2" t="str">
        <f>IFERROR(__xludf.DUMMYFUNCTION("""COMPUTED_VALUE"""),"Satisfactory")</f>
        <v>Satisfactory</v>
      </c>
      <c r="AV23" s="2" t="str">
        <f>IFERROR(__xludf.DUMMYFUNCTION("""COMPUTED_VALUE"""),"Satisfactory")</f>
        <v>Satisfactory</v>
      </c>
      <c r="AW23" s="2" t="str">
        <f>IFERROR(__xludf.DUMMYFUNCTION("""COMPUTED_VALUE"""),"N\A")</f>
        <v>N\A</v>
      </c>
      <c r="AX23" s="2" t="str">
        <f>IFERROR(__xludf.DUMMYFUNCTION("""COMPUTED_VALUE"""),"N\A")</f>
        <v>N\A</v>
      </c>
      <c r="AY23" s="2" t="str">
        <f>IFERROR(__xludf.DUMMYFUNCTION("""COMPUTED_VALUE"""),"Funding, Teaching experience, Learn a new topic")</f>
        <v>Funding, Teaching experience, Learn a new topic</v>
      </c>
      <c r="AZ23" s="2" t="str">
        <f>IFERROR(__xludf.DUMMYFUNCTION("""COMPUTED_VALUE"""),"Anything related to Web Development")</f>
        <v>Anything related to Web Development</v>
      </c>
      <c r="BA23" s="2"/>
      <c r="BB23" s="2"/>
      <c r="BC23" s="2"/>
      <c r="BD23" s="2"/>
      <c r="BE23" s="2"/>
      <c r="BF23" s="2"/>
    </row>
    <row r="24">
      <c r="A24" s="3">
        <f>IFERROR(__xludf.DUMMYFUNCTION("""COMPUTED_VALUE"""),46254.58276560185)</f>
        <v>46254.58277</v>
      </c>
      <c r="B24" s="2" t="str">
        <f>IFERROR(__xludf.DUMMYFUNCTION("""COMPUTED_VALUE"""),"X")</f>
        <v>X</v>
      </c>
      <c r="C24" s="2" t="str">
        <f>IFERROR(__xludf.DUMMYFUNCTION("""COMPUTED_VALUE"""),"U")</f>
        <v>U</v>
      </c>
      <c r="D24" s="2" t="str">
        <f>IFERROR(__xludf.DUMMYFUNCTION("""COMPUTED_VALUE"""),"x@pitt.edu")</f>
        <v>x@pitt.edu</v>
      </c>
      <c r="E24" s="2" t="str">
        <f>IFERROR(__xludf.DUMMYFUNCTION("""COMPUTED_VALUE"""),"Second Choice")</f>
        <v>Second Choice</v>
      </c>
      <c r="F24" s="2" t="str">
        <f>IFERROR(__xludf.DUMMYFUNCTION("""COMPUTED_VALUE"""),"Second Choice")</f>
        <v>Second Choice</v>
      </c>
      <c r="G24" s="2" t="str">
        <f>IFERROR(__xludf.DUMMYFUNCTION("""COMPUTED_VALUE"""),"Second Choice")</f>
        <v>Second Choice</v>
      </c>
      <c r="H24" s="2" t="str">
        <f>IFERROR(__xludf.DUMMYFUNCTION("""COMPUTED_VALUE"""),"Second Choice")</f>
        <v>Second Choice</v>
      </c>
      <c r="I24" s="2" t="str">
        <f>IFERROR(__xludf.DUMMYFUNCTION("""COMPUTED_VALUE"""),"Second Choice")</f>
        <v>Second Choice</v>
      </c>
      <c r="J24" s="2" t="str">
        <f>IFERROR(__xludf.DUMMYFUNCTION("""COMPUTED_VALUE"""),"Second Choice")</f>
        <v>Second Choice</v>
      </c>
      <c r="K24" s="2" t="str">
        <f>IFERROR(__xludf.DUMMYFUNCTION("""COMPUTED_VALUE"""),"Third Choice Group")</f>
        <v>Third Choice Group</v>
      </c>
      <c r="L24" s="2" t="str">
        <f>IFERROR(__xludf.DUMMYFUNCTION("""COMPUTED_VALUE"""),"First Choice Group")</f>
        <v>First Choice Group</v>
      </c>
      <c r="M24" s="2" t="str">
        <f>IFERROR(__xludf.DUMMYFUNCTION("""COMPUTED_VALUE"""),"Second Choice")</f>
        <v>Second Choice</v>
      </c>
      <c r="N24" s="2" t="str">
        <f>IFERROR(__xludf.DUMMYFUNCTION("""COMPUTED_VALUE"""),"Third Choice Group")</f>
        <v>Third Choice Group</v>
      </c>
      <c r="O24" s="2" t="str">
        <f>IFERROR(__xludf.DUMMYFUNCTION("""COMPUTED_VALUE"""),"First Choice Group")</f>
        <v>First Choice Group</v>
      </c>
      <c r="P24" s="2" t="str">
        <f>IFERROR(__xludf.DUMMYFUNCTION("""COMPUTED_VALUE"""),"Second Choice")</f>
        <v>Second Choice</v>
      </c>
      <c r="Q24" s="2" t="str">
        <f>IFERROR(__xludf.DUMMYFUNCTION("""COMPUTED_VALUE"""),"Second Choice")</f>
        <v>Second Choice</v>
      </c>
      <c r="R24" s="2" t="str">
        <f>IFERROR(__xludf.DUMMYFUNCTION("""COMPUTED_VALUE"""),"Second Choice")</f>
        <v>Second Choice</v>
      </c>
      <c r="S24" s="2" t="str">
        <f>IFERROR(__xludf.DUMMYFUNCTION("""COMPUTED_VALUE"""),"Second Choice")</f>
        <v>Second Choice</v>
      </c>
      <c r="T24" s="2" t="str">
        <f>IFERROR(__xludf.DUMMYFUNCTION("""COMPUTED_VALUE"""),"First Choice Group")</f>
        <v>First Choice Group</v>
      </c>
      <c r="U24" s="2" t="str">
        <f>IFERROR(__xludf.DUMMYFUNCTION("""COMPUTED_VALUE"""),"Second Choice")</f>
        <v>Second Choice</v>
      </c>
      <c r="V24" s="2" t="str">
        <f>IFERROR(__xludf.DUMMYFUNCTION("""COMPUTED_VALUE"""),"First Choice Group")</f>
        <v>First Choice Group</v>
      </c>
      <c r="W24" s="2" t="str">
        <f>IFERROR(__xludf.DUMMYFUNCTION("""COMPUTED_VALUE"""),"Third Choice Group")</f>
        <v>Third Choice Group</v>
      </c>
      <c r="X24" s="2" t="str">
        <f>IFERROR(__xludf.DUMMYFUNCTION("""COMPUTED_VALUE"""),"Third Choice Group")</f>
        <v>Third Choice Group</v>
      </c>
      <c r="Y24" s="2" t="str">
        <f>IFERROR(__xludf.DUMMYFUNCTION("""COMPUTED_VALUE"""),"Second Choice")</f>
        <v>Second Choice</v>
      </c>
      <c r="Z24" s="2" t="str">
        <f>IFERROR(__xludf.DUMMYFUNCTION("""COMPUTED_VALUE"""),"First Choice Group")</f>
        <v>First Choice Group</v>
      </c>
      <c r="AA24" s="2" t="str">
        <f>IFERROR(__xludf.DUMMYFUNCTION("""COMPUTED_VALUE"""),"Second Choice")</f>
        <v>Second Choice</v>
      </c>
      <c r="AB24" s="2" t="str">
        <f>IFERROR(__xludf.DUMMYFUNCTION("""COMPUTED_VALUE"""),"First Choice Group")</f>
        <v>First Choice Group</v>
      </c>
      <c r="AC24" s="2" t="str">
        <f>IFERROR(__xludf.DUMMYFUNCTION("""COMPUTED_VALUE"""),"Second Choice")</f>
        <v>Second Choice</v>
      </c>
      <c r="AD24" s="2" t="str">
        <f>IFERROR(__xludf.DUMMYFUNCTION("""COMPUTED_VALUE"""),"First Choice Group")</f>
        <v>First Choice Group</v>
      </c>
      <c r="AE24" s="2" t="str">
        <f>IFERROR(__xludf.DUMMYFUNCTION("""COMPUTED_VALUE"""),"First Choice Group")</f>
        <v>First Choice Group</v>
      </c>
      <c r="AF24" s="2" t="str">
        <f>IFERROR(__xludf.DUMMYFUNCTION("""COMPUTED_VALUE"""),"Second Choice")</f>
        <v>Second Choice</v>
      </c>
      <c r="AG24" s="2" t="str">
        <f>IFERROR(__xludf.DUMMYFUNCTION("""COMPUTED_VALUE"""),"Second Choice")</f>
        <v>Second Choice</v>
      </c>
      <c r="AH24" s="2" t="str">
        <f>IFERROR(__xludf.DUMMYFUNCTION("""COMPUTED_VALUE"""),"Second Choice")</f>
        <v>Second Choice</v>
      </c>
      <c r="AI24" s="2" t="str">
        <f>IFERROR(__xludf.DUMMYFUNCTION("""COMPUTED_VALUE"""),"Third Choice Group")</f>
        <v>Third Choice Group</v>
      </c>
      <c r="AJ24" s="2" t="str">
        <f>IFERROR(__xludf.DUMMYFUNCTION("""COMPUTED_VALUE"""),"Third Choice Group")</f>
        <v>Third Choice Group</v>
      </c>
      <c r="AK24" s="2" t="str">
        <f>IFERROR(__xludf.DUMMYFUNCTION("""COMPUTED_VALUE"""),"First Choice Group")</f>
        <v>First Choice Group</v>
      </c>
      <c r="AL24" s="2" t="str">
        <f>IFERROR(__xludf.DUMMYFUNCTION("""COMPUTED_VALUE"""),"First Choice Group")</f>
        <v>First Choice Group</v>
      </c>
      <c r="AM24" s="2" t="str">
        <f>IFERROR(__xludf.DUMMYFUNCTION("""COMPUTED_VALUE"""),"Cannot TA Group (explain below)")</f>
        <v>Cannot TA Group (explain below)</v>
      </c>
      <c r="AN24" s="2" t="str">
        <f>IFERROR(__xludf.DUMMYFUNCTION("""COMPUTED_VALUE"""),"Cannot TA Group (explain below)")</f>
        <v>Cannot TA Group (explain below)</v>
      </c>
      <c r="AO24" s="2" t="str">
        <f>IFERROR(__xludf.DUMMYFUNCTION("""COMPUTED_VALUE"""),"Excellent")</f>
        <v>Excellent</v>
      </c>
      <c r="AP24" s="2" t="str">
        <f>IFERROR(__xludf.DUMMYFUNCTION("""COMPUTED_VALUE"""),"Satisfactory")</f>
        <v>Satisfactory</v>
      </c>
      <c r="AQ24" s="2" t="str">
        <f>IFERROR(__xludf.DUMMYFUNCTION("""COMPUTED_VALUE"""),"Satisfactory")</f>
        <v>Satisfactory</v>
      </c>
      <c r="AR24" s="2" t="str">
        <f>IFERROR(__xludf.DUMMYFUNCTION("""COMPUTED_VALUE"""),"Satisfactory")</f>
        <v>Satisfactory</v>
      </c>
      <c r="AS24" s="2" t="str">
        <f>IFERROR(__xludf.DUMMYFUNCTION("""COMPUTED_VALUE"""),"Satisfactory")</f>
        <v>Satisfactory</v>
      </c>
      <c r="AT24" s="2" t="str">
        <f>IFERROR(__xludf.DUMMYFUNCTION("""COMPUTED_VALUE"""),"Excellent")</f>
        <v>Excellent</v>
      </c>
      <c r="AU24" s="2" t="str">
        <f>IFERROR(__xludf.DUMMYFUNCTION("""COMPUTED_VALUE"""),"Satisfactory")</f>
        <v>Satisfactory</v>
      </c>
      <c r="AV24" s="2" t="str">
        <f>IFERROR(__xludf.DUMMYFUNCTION("""COMPUTED_VALUE"""),"Excellent")</f>
        <v>Excellent</v>
      </c>
      <c r="AW24" s="2" t="str">
        <f>IFERROR(__xludf.DUMMYFUNCTION("""COMPUTED_VALUE"""),"I am unavailable from 12-3pm and 6-8:30pm Mondays, and 2pm-3:15pm on Tuesdays and Thursdays.")</f>
        <v>I am unavailable from 12-3pm and 6-8:30pm Mondays, and 2pm-3:15pm on Tuesdays and Thursdays.</v>
      </c>
      <c r="AX24" s="2" t="str">
        <f>IFERROR(__xludf.DUMMYFUNCTION("""COMPUTED_VALUE"""),"cs2750")</f>
        <v>cs2750</v>
      </c>
      <c r="AY24" s="2" t="str">
        <f>IFERROR(__xludf.DUMMYFUNCTION("""COMPUTED_VALUE"""),"Funding")</f>
        <v>Funding</v>
      </c>
      <c r="AZ24" s="2" t="str">
        <f>IFERROR(__xludf.DUMMYFUNCTION("""COMPUTED_VALUE"""),"no background in quantum computing")</f>
        <v>no background in quantum computing</v>
      </c>
      <c r="BA24" s="2"/>
      <c r="BB24" s="2"/>
      <c r="BC24" s="2"/>
      <c r="BD24" s="2"/>
      <c r="BE24" s="2"/>
      <c r="BF2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3" width="21.88"/>
    <col customWidth="1" min="4" max="4" width="23.75"/>
    <col customWidth="1" min="5" max="35" width="21.88"/>
    <col customWidth="1" min="36" max="36" width="17.75"/>
    <col customWidth="1" min="37" max="37" width="21.88"/>
  </cols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2" t="str">
        <f t="array" ref="A2:A25">UNIQUE(Cleanup!B2:B74)</f>
        <v>A</v>
      </c>
      <c r="B2" s="2" t="str">
        <f t="array" ref="B2:AK2">TRANSPOSE(SORT(TRANSPOSE(Cleanup!$E$1:$AN$1), TRANSPOSE(MATCH(Cleanup!$E2:$AN2, {"First Choice Group", "Second Choice", "Third Choice Group", "Cannot TA Group (explain below)"}, 0)), TRUE))</f>
        <v>CS 1635/2035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24</v>
      </c>
      <c r="N2" s="2" t="s">
        <v>31</v>
      </c>
      <c r="O2" s="2" t="s">
        <v>39</v>
      </c>
      <c r="P2" s="2" t="s">
        <v>48</v>
      </c>
      <c r="Q2" s="2" t="s">
        <v>57</v>
      </c>
      <c r="R2" s="2" t="s">
        <v>71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82</v>
      </c>
      <c r="AB2" s="2" t="s">
        <v>83</v>
      </c>
      <c r="AC2" s="2" t="s">
        <v>84</v>
      </c>
      <c r="AD2" s="2" t="s">
        <v>85</v>
      </c>
      <c r="AE2" s="2" t="s">
        <v>86</v>
      </c>
      <c r="AF2" s="2" t="s">
        <v>87</v>
      </c>
      <c r="AG2" s="2" t="s">
        <v>89</v>
      </c>
      <c r="AH2" s="2" t="s">
        <v>90</v>
      </c>
      <c r="AI2" s="2" t="s">
        <v>91</v>
      </c>
      <c r="AJ2" s="2" t="s">
        <v>92</v>
      </c>
      <c r="AK2" s="2" t="s">
        <v>93</v>
      </c>
    </row>
    <row r="3">
      <c r="A3" s="2" t="s">
        <v>94</v>
      </c>
      <c r="B3" s="2" t="str">
        <f t="array" ref="B3:AK3">TRANSPOSE(SORT(TRANSPOSE(Cleanup!$E$1:$AN$1), TRANSPOSE(MATCH(Cleanup!$E3:$AN3, {"First Choice Group", "Second Choice", "Third Choice Group", "Cannot TA Group (explain below)"}, 0)), TRUE))</f>
        <v>CS 0007</v>
      </c>
      <c r="C3" s="2" t="s">
        <v>24</v>
      </c>
      <c r="D3" s="2" t="s">
        <v>31</v>
      </c>
      <c r="E3" s="2" t="s">
        <v>39</v>
      </c>
      <c r="F3" s="2" t="s">
        <v>48</v>
      </c>
      <c r="G3" s="2" t="s">
        <v>71</v>
      </c>
      <c r="H3" s="2" t="s">
        <v>74</v>
      </c>
      <c r="I3" s="2" t="s">
        <v>77</v>
      </c>
      <c r="J3" s="2" t="s">
        <v>78</v>
      </c>
      <c r="K3" s="2" t="s">
        <v>80</v>
      </c>
      <c r="L3" s="2" t="s">
        <v>82</v>
      </c>
      <c r="M3" s="2" t="s">
        <v>61</v>
      </c>
      <c r="N3" s="2" t="s">
        <v>87</v>
      </c>
      <c r="O3" s="2" t="s">
        <v>89</v>
      </c>
      <c r="P3" s="2" t="s">
        <v>62</v>
      </c>
      <c r="Q3" s="2" t="s">
        <v>63</v>
      </c>
      <c r="R3" s="2" t="s">
        <v>64</v>
      </c>
      <c r="S3" s="2" t="s">
        <v>65</v>
      </c>
      <c r="T3" s="2" t="s">
        <v>69</v>
      </c>
      <c r="U3" s="2" t="s">
        <v>90</v>
      </c>
      <c r="V3" s="2" t="s">
        <v>92</v>
      </c>
      <c r="W3" s="2" t="s">
        <v>66</v>
      </c>
      <c r="X3" s="2" t="s">
        <v>67</v>
      </c>
      <c r="Y3" s="2" t="s">
        <v>68</v>
      </c>
      <c r="Z3" s="2" t="s">
        <v>57</v>
      </c>
      <c r="AA3" s="2" t="s">
        <v>73</v>
      </c>
      <c r="AB3" s="2" t="s">
        <v>75</v>
      </c>
      <c r="AC3" s="2" t="s">
        <v>76</v>
      </c>
      <c r="AD3" s="2" t="s">
        <v>79</v>
      </c>
      <c r="AE3" s="2" t="s">
        <v>83</v>
      </c>
      <c r="AF3" s="2" t="s">
        <v>84</v>
      </c>
      <c r="AG3" s="2" t="s">
        <v>85</v>
      </c>
      <c r="AH3" s="2" t="s">
        <v>95</v>
      </c>
      <c r="AI3" s="2" t="s">
        <v>86</v>
      </c>
      <c r="AJ3" s="2" t="s">
        <v>91</v>
      </c>
      <c r="AK3" s="2" t="s">
        <v>93</v>
      </c>
    </row>
    <row r="4">
      <c r="A4" s="2" t="s">
        <v>96</v>
      </c>
      <c r="B4" s="2" t="str">
        <f t="array" ref="B4:AK4">TRANSPOSE(SORT(TRANSPOSE(Cleanup!$E$1:$AN$1), TRANSPOSE(MATCH(Cleanup!$E4:$AN4, {"First Choice Group", "Second Choice", "Third Choice Group", "Cannot TA Group (explain below)"}, 0)), TRUE))</f>
        <v>CS 1656</v>
      </c>
      <c r="C4" s="2" t="s">
        <v>48</v>
      </c>
      <c r="D4" s="2" t="s">
        <v>78</v>
      </c>
      <c r="E4" s="2" t="s">
        <v>80</v>
      </c>
      <c r="F4" s="2" t="s">
        <v>70</v>
      </c>
      <c r="G4" s="2" t="s">
        <v>24</v>
      </c>
      <c r="H4" s="2" t="s">
        <v>31</v>
      </c>
      <c r="I4" s="2" t="s">
        <v>39</v>
      </c>
      <c r="J4" s="2" t="s">
        <v>57</v>
      </c>
      <c r="K4" s="2" t="s">
        <v>71</v>
      </c>
      <c r="L4" s="2" t="s">
        <v>73</v>
      </c>
      <c r="M4" s="2" t="s">
        <v>74</v>
      </c>
      <c r="N4" s="2" t="s">
        <v>75</v>
      </c>
      <c r="O4" s="2" t="s">
        <v>76</v>
      </c>
      <c r="P4" s="2" t="s">
        <v>77</v>
      </c>
      <c r="Q4" s="2" t="s">
        <v>79</v>
      </c>
      <c r="R4" s="2" t="s">
        <v>82</v>
      </c>
      <c r="S4" s="2" t="s">
        <v>83</v>
      </c>
      <c r="T4" s="2" t="s">
        <v>84</v>
      </c>
      <c r="U4" s="2" t="s">
        <v>85</v>
      </c>
      <c r="V4" s="2" t="s">
        <v>95</v>
      </c>
      <c r="W4" s="2" t="s">
        <v>86</v>
      </c>
      <c r="X4" s="2" t="s">
        <v>87</v>
      </c>
      <c r="Y4" s="2" t="s">
        <v>89</v>
      </c>
      <c r="Z4" s="2" t="s">
        <v>62</v>
      </c>
      <c r="AA4" s="2" t="s">
        <v>63</v>
      </c>
      <c r="AB4" s="2" t="s">
        <v>64</v>
      </c>
      <c r="AC4" s="2" t="s">
        <v>65</v>
      </c>
      <c r="AD4" s="2" t="s">
        <v>69</v>
      </c>
      <c r="AE4" s="2" t="s">
        <v>90</v>
      </c>
      <c r="AF4" s="2" t="s">
        <v>91</v>
      </c>
      <c r="AG4" s="2" t="s">
        <v>92</v>
      </c>
      <c r="AH4" s="2" t="s">
        <v>66</v>
      </c>
      <c r="AI4" s="2" t="s">
        <v>67</v>
      </c>
      <c r="AJ4" s="2" t="s">
        <v>68</v>
      </c>
      <c r="AK4" s="2" t="s">
        <v>93</v>
      </c>
    </row>
    <row r="5">
      <c r="A5" s="2" t="s">
        <v>100</v>
      </c>
      <c r="B5" s="2" t="str">
        <f t="array" ref="B5:AK5">TRANSPOSE(SORT(TRANSPOSE(Cleanup!$E$1:$AN$1), TRANSPOSE(MATCH(Cleanup!$E5:$AN5, {"First Choice Group", "Second Choice", "Third Choice Group", "Cannot TA Group (explain below)"}, 0)), TRUE))</f>
        <v>CS 0007</v>
      </c>
      <c r="C5" s="2" t="s">
        <v>24</v>
      </c>
      <c r="D5" s="2" t="s">
        <v>31</v>
      </c>
      <c r="E5" s="2" t="s">
        <v>39</v>
      </c>
      <c r="F5" s="2" t="s">
        <v>73</v>
      </c>
      <c r="G5" s="2" t="s">
        <v>76</v>
      </c>
      <c r="H5" s="2" t="s">
        <v>78</v>
      </c>
      <c r="I5" s="2" t="s">
        <v>79</v>
      </c>
      <c r="J5" s="2" t="s">
        <v>84</v>
      </c>
      <c r="K5" s="2" t="s">
        <v>85</v>
      </c>
      <c r="L5" s="2" t="s">
        <v>95</v>
      </c>
      <c r="M5" s="2" t="s">
        <v>86</v>
      </c>
      <c r="N5" s="2" t="s">
        <v>61</v>
      </c>
      <c r="O5" s="2" t="s">
        <v>87</v>
      </c>
      <c r="P5" s="2" t="s">
        <v>89</v>
      </c>
      <c r="Q5" s="2" t="s">
        <v>62</v>
      </c>
      <c r="R5" s="2" t="s">
        <v>63</v>
      </c>
      <c r="S5" s="2" t="s">
        <v>64</v>
      </c>
      <c r="T5" s="2" t="s">
        <v>65</v>
      </c>
      <c r="U5" s="2" t="s">
        <v>69</v>
      </c>
      <c r="V5" s="2" t="s">
        <v>90</v>
      </c>
      <c r="W5" s="2" t="s">
        <v>66</v>
      </c>
      <c r="X5" s="2" t="s">
        <v>67</v>
      </c>
      <c r="Y5" s="2" t="s">
        <v>68</v>
      </c>
      <c r="Z5" s="2" t="s">
        <v>48</v>
      </c>
      <c r="AA5" s="2" t="s">
        <v>57</v>
      </c>
      <c r="AB5" s="2" t="s">
        <v>71</v>
      </c>
      <c r="AC5" s="2" t="s">
        <v>74</v>
      </c>
      <c r="AD5" s="2" t="s">
        <v>75</v>
      </c>
      <c r="AE5" s="2" t="s">
        <v>77</v>
      </c>
      <c r="AF5" s="2" t="s">
        <v>80</v>
      </c>
      <c r="AG5" s="2" t="s">
        <v>82</v>
      </c>
      <c r="AH5" s="2" t="s">
        <v>83</v>
      </c>
      <c r="AI5" s="2" t="s">
        <v>91</v>
      </c>
      <c r="AJ5" s="2" t="s">
        <v>92</v>
      </c>
      <c r="AK5" s="2" t="s">
        <v>93</v>
      </c>
    </row>
    <row r="6">
      <c r="A6" s="2" t="s">
        <v>108</v>
      </c>
      <c r="B6" s="2" t="str">
        <f t="array" ref="B6:AK6">TRANSPOSE(SORT(TRANSPOSE(Cleanup!$E$1:$AN$1), TRANSPOSE(MATCH(Cleanup!$E6:$AN6, {"First Choice Group", "Second Choice", "Third Choice Group", "Cannot TA Group (explain below)"}, 0)), TRUE))</f>
        <v>CS 2710</v>
      </c>
      <c r="C6" s="2" t="s">
        <v>68</v>
      </c>
      <c r="D6" s="2" t="s">
        <v>84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67</v>
      </c>
      <c r="J6" s="2" t="s">
        <v>70</v>
      </c>
      <c r="K6" s="2" t="s">
        <v>24</v>
      </c>
      <c r="L6" s="2" t="s">
        <v>31</v>
      </c>
      <c r="M6" s="2" t="s">
        <v>39</v>
      </c>
      <c r="N6" s="2" t="s">
        <v>48</v>
      </c>
      <c r="O6" s="2" t="s">
        <v>57</v>
      </c>
      <c r="P6" s="2" t="s">
        <v>71</v>
      </c>
      <c r="Q6" s="2" t="s">
        <v>73</v>
      </c>
      <c r="R6" s="2" t="s">
        <v>74</v>
      </c>
      <c r="S6" s="2" t="s">
        <v>75</v>
      </c>
      <c r="T6" s="2" t="s">
        <v>76</v>
      </c>
      <c r="U6" s="2" t="s">
        <v>77</v>
      </c>
      <c r="V6" s="2" t="s">
        <v>78</v>
      </c>
      <c r="W6" s="2" t="s">
        <v>79</v>
      </c>
      <c r="X6" s="2" t="s">
        <v>80</v>
      </c>
      <c r="Y6" s="2" t="s">
        <v>82</v>
      </c>
      <c r="Z6" s="2" t="s">
        <v>83</v>
      </c>
      <c r="AA6" s="2" t="s">
        <v>85</v>
      </c>
      <c r="AB6" s="2" t="s">
        <v>95</v>
      </c>
      <c r="AC6" s="2" t="s">
        <v>86</v>
      </c>
      <c r="AD6" s="2" t="s">
        <v>87</v>
      </c>
      <c r="AE6" s="2" t="s">
        <v>89</v>
      </c>
      <c r="AF6" s="2" t="s">
        <v>65</v>
      </c>
      <c r="AG6" s="2" t="s">
        <v>69</v>
      </c>
      <c r="AH6" s="2" t="s">
        <v>90</v>
      </c>
      <c r="AI6" s="2" t="s">
        <v>91</v>
      </c>
      <c r="AJ6" s="2" t="s">
        <v>92</v>
      </c>
      <c r="AK6" s="2" t="s">
        <v>93</v>
      </c>
    </row>
    <row r="7">
      <c r="A7" s="2" t="s">
        <v>109</v>
      </c>
      <c r="B7" s="2" t="str">
        <f t="array" ref="B7:AK7">TRANSPOSE(SORT(TRANSPOSE(Cleanup!$E$1:$AN$1), TRANSPOSE(MATCH(Cleanup!$E7:$AN7, {"First Choice Group", "Second Choice", "Third Choice Group", "Cannot TA Group (explain below)"}, 0)), TRUE))</f>
        <v>CS 1674/2074</v>
      </c>
      <c r="C7" s="2" t="s">
        <v>68</v>
      </c>
      <c r="D7" s="2" t="s">
        <v>77</v>
      </c>
      <c r="E7" s="2" t="s">
        <v>84</v>
      </c>
      <c r="F7" s="2" t="s">
        <v>61</v>
      </c>
      <c r="G7" s="2" t="s">
        <v>70</v>
      </c>
      <c r="H7" s="2" t="s">
        <v>24</v>
      </c>
      <c r="I7" s="2" t="s">
        <v>31</v>
      </c>
      <c r="J7" s="2" t="s">
        <v>39</v>
      </c>
      <c r="K7" s="2" t="s">
        <v>48</v>
      </c>
      <c r="L7" s="2" t="s">
        <v>57</v>
      </c>
      <c r="M7" s="2" t="s">
        <v>71</v>
      </c>
      <c r="N7" s="2" t="s">
        <v>73</v>
      </c>
      <c r="O7" s="2" t="s">
        <v>74</v>
      </c>
      <c r="P7" s="2" t="s">
        <v>75</v>
      </c>
      <c r="Q7" s="2" t="s">
        <v>76</v>
      </c>
      <c r="R7" s="2" t="s">
        <v>78</v>
      </c>
      <c r="S7" s="2" t="s">
        <v>79</v>
      </c>
      <c r="T7" s="2" t="s">
        <v>80</v>
      </c>
      <c r="U7" s="2" t="s">
        <v>82</v>
      </c>
      <c r="V7" s="2" t="s">
        <v>83</v>
      </c>
      <c r="W7" s="2" t="s">
        <v>85</v>
      </c>
      <c r="X7" s="2" t="s">
        <v>95</v>
      </c>
      <c r="Y7" s="2" t="s">
        <v>86</v>
      </c>
      <c r="Z7" s="2" t="s">
        <v>87</v>
      </c>
      <c r="AA7" s="2" t="s">
        <v>89</v>
      </c>
      <c r="AB7" s="2" t="s">
        <v>62</v>
      </c>
      <c r="AC7" s="2" t="s">
        <v>65</v>
      </c>
      <c r="AD7" s="2" t="s">
        <v>69</v>
      </c>
      <c r="AE7" s="2" t="s">
        <v>90</v>
      </c>
      <c r="AF7" s="2" t="s">
        <v>91</v>
      </c>
      <c r="AG7" s="2" t="s">
        <v>92</v>
      </c>
      <c r="AH7" s="2" t="s">
        <v>66</v>
      </c>
      <c r="AI7" s="2" t="s">
        <v>67</v>
      </c>
      <c r="AJ7" s="2" t="s">
        <v>93</v>
      </c>
      <c r="AK7" s="2" t="s">
        <v>64</v>
      </c>
    </row>
    <row r="8">
      <c r="A8" s="2" t="s">
        <v>112</v>
      </c>
      <c r="B8" s="2" t="str">
        <f t="array" ref="B8:AK8">TRANSPOSE(SORT(TRANSPOSE(Cleanup!$E$1:$AN$1), TRANSPOSE(MATCH(Cleanup!$E8:$AN8, {"First Choice Group", "Second Choice", "Third Choice Group", "Cannot TA Group (explain below)"}, 0)), TRUE))</f>
        <v>CS 1571</v>
      </c>
      <c r="C8" s="2" t="s">
        <v>62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73</v>
      </c>
      <c r="I8" s="2" t="s">
        <v>86</v>
      </c>
      <c r="J8" s="2" t="s">
        <v>64</v>
      </c>
      <c r="K8" s="2" t="s">
        <v>69</v>
      </c>
      <c r="L8" s="2" t="s">
        <v>90</v>
      </c>
      <c r="M8" s="2" t="s">
        <v>92</v>
      </c>
      <c r="N8" s="2" t="s">
        <v>70</v>
      </c>
      <c r="O8" s="2" t="s">
        <v>24</v>
      </c>
      <c r="P8" s="2" t="s">
        <v>31</v>
      </c>
      <c r="Q8" s="2" t="s">
        <v>39</v>
      </c>
      <c r="R8" s="2" t="s">
        <v>48</v>
      </c>
      <c r="S8" s="2" t="s">
        <v>74</v>
      </c>
      <c r="T8" s="2" t="s">
        <v>76</v>
      </c>
      <c r="U8" s="2" t="s">
        <v>77</v>
      </c>
      <c r="V8" s="2" t="s">
        <v>79</v>
      </c>
      <c r="W8" s="2" t="s">
        <v>82</v>
      </c>
      <c r="X8" s="2" t="s">
        <v>85</v>
      </c>
      <c r="Y8" s="2" t="s">
        <v>61</v>
      </c>
      <c r="Z8" s="2" t="s">
        <v>87</v>
      </c>
      <c r="AA8" s="2" t="s">
        <v>63</v>
      </c>
      <c r="AB8" s="2" t="s">
        <v>57</v>
      </c>
      <c r="AC8" s="2" t="s">
        <v>71</v>
      </c>
      <c r="AD8" s="2" t="s">
        <v>75</v>
      </c>
      <c r="AE8" s="2" t="s">
        <v>78</v>
      </c>
      <c r="AF8" s="2" t="s">
        <v>80</v>
      </c>
      <c r="AG8" s="2" t="s">
        <v>83</v>
      </c>
      <c r="AH8" s="2" t="s">
        <v>95</v>
      </c>
      <c r="AI8" s="2" t="s">
        <v>89</v>
      </c>
      <c r="AJ8" s="2" t="s">
        <v>91</v>
      </c>
      <c r="AK8" s="2" t="s">
        <v>93</v>
      </c>
    </row>
    <row r="9">
      <c r="A9" s="2" t="s">
        <v>116</v>
      </c>
      <c r="B9" s="2" t="str">
        <f t="array" ref="B9:AK9">TRANSPOSE(SORT(TRANSPOSE(Cleanup!$E$1:$AN$1), TRANSPOSE(MATCH(Cleanup!$E9:$AN9, {"First Choice Group", "Second Choice", "Third Choice Group", "Cannot TA Group (explain below)"}, 0)), TRUE))</f>
        <v>CS 1671/2071</v>
      </c>
      <c r="C9" s="2" t="s">
        <v>74</v>
      </c>
      <c r="D9" s="2" t="s">
        <v>84</v>
      </c>
      <c r="E9" s="2" t="s">
        <v>61</v>
      </c>
      <c r="F9" s="2" t="s">
        <v>64</v>
      </c>
      <c r="G9" s="2" t="s">
        <v>70</v>
      </c>
      <c r="H9" s="2" t="s">
        <v>24</v>
      </c>
      <c r="I9" s="2" t="s">
        <v>31</v>
      </c>
      <c r="J9" s="2" t="s">
        <v>39</v>
      </c>
      <c r="K9" s="2" t="s">
        <v>48</v>
      </c>
      <c r="L9" s="2" t="s">
        <v>57</v>
      </c>
      <c r="M9" s="2" t="s">
        <v>71</v>
      </c>
      <c r="N9" s="2" t="s">
        <v>73</v>
      </c>
      <c r="O9" s="2" t="s">
        <v>75</v>
      </c>
      <c r="P9" s="2" t="s">
        <v>76</v>
      </c>
      <c r="Q9" s="2" t="s">
        <v>77</v>
      </c>
      <c r="R9" s="2" t="s">
        <v>78</v>
      </c>
      <c r="S9" s="2" t="s">
        <v>79</v>
      </c>
      <c r="T9" s="2" t="s">
        <v>80</v>
      </c>
      <c r="U9" s="2" t="s">
        <v>82</v>
      </c>
      <c r="V9" s="2" t="s">
        <v>83</v>
      </c>
      <c r="W9" s="2" t="s">
        <v>85</v>
      </c>
      <c r="X9" s="2" t="s">
        <v>95</v>
      </c>
      <c r="Y9" s="2" t="s">
        <v>86</v>
      </c>
      <c r="Z9" s="2" t="s">
        <v>87</v>
      </c>
      <c r="AA9" s="2" t="s">
        <v>89</v>
      </c>
      <c r="AB9" s="2" t="s">
        <v>63</v>
      </c>
      <c r="AC9" s="2" t="s">
        <v>65</v>
      </c>
      <c r="AD9" s="2" t="s">
        <v>69</v>
      </c>
      <c r="AE9" s="2" t="s">
        <v>90</v>
      </c>
      <c r="AF9" s="2" t="s">
        <v>91</v>
      </c>
      <c r="AG9" s="2" t="s">
        <v>92</v>
      </c>
      <c r="AH9" s="2" t="s">
        <v>66</v>
      </c>
      <c r="AI9" s="2" t="s">
        <v>67</v>
      </c>
      <c r="AJ9" s="2" t="s">
        <v>68</v>
      </c>
      <c r="AK9" s="2" t="s">
        <v>93</v>
      </c>
    </row>
    <row r="10">
      <c r="A10" s="2" t="s">
        <v>117</v>
      </c>
      <c r="B10" s="2" t="str">
        <f t="array" ref="B10:AK10">TRANSPOSE(SORT(TRANSPOSE(Cleanup!$E$1:$AN$1), TRANSPOSE(MATCH(Cleanup!$E10:$AN10, {"First Choice Group", "Second Choice", "Third Choice Group", "Cannot TA Group (explain below)"}, 0)), TRUE))</f>
        <v>CS 2710</v>
      </c>
      <c r="C10" s="2" t="s">
        <v>67</v>
      </c>
      <c r="D10" s="2" t="s">
        <v>68</v>
      </c>
      <c r="E10" s="2" t="s">
        <v>62</v>
      </c>
      <c r="F10" s="2" t="s">
        <v>63</v>
      </c>
      <c r="G10" s="2" t="s">
        <v>65</v>
      </c>
      <c r="H10" s="2" t="s">
        <v>69</v>
      </c>
      <c r="I10" s="2" t="s">
        <v>90</v>
      </c>
      <c r="J10" s="2" t="s">
        <v>79</v>
      </c>
      <c r="K10" s="2" t="s">
        <v>84</v>
      </c>
      <c r="L10" s="2" t="s">
        <v>86</v>
      </c>
      <c r="M10" s="2" t="s">
        <v>61</v>
      </c>
      <c r="N10" s="2" t="s">
        <v>64</v>
      </c>
      <c r="O10" s="2" t="s">
        <v>70</v>
      </c>
      <c r="P10" s="2" t="s">
        <v>24</v>
      </c>
      <c r="Q10" s="2" t="s">
        <v>31</v>
      </c>
      <c r="R10" s="2" t="s">
        <v>39</v>
      </c>
      <c r="S10" s="2" t="s">
        <v>48</v>
      </c>
      <c r="T10" s="2" t="s">
        <v>57</v>
      </c>
      <c r="U10" s="2" t="s">
        <v>71</v>
      </c>
      <c r="V10" s="2" t="s">
        <v>73</v>
      </c>
      <c r="W10" s="2" t="s">
        <v>74</v>
      </c>
      <c r="X10" s="2" t="s">
        <v>75</v>
      </c>
      <c r="Y10" s="2" t="s">
        <v>76</v>
      </c>
      <c r="Z10" s="2" t="s">
        <v>77</v>
      </c>
      <c r="AA10" s="2" t="s">
        <v>78</v>
      </c>
      <c r="AB10" s="2" t="s">
        <v>80</v>
      </c>
      <c r="AC10" s="2" t="s">
        <v>82</v>
      </c>
      <c r="AD10" s="2" t="s">
        <v>83</v>
      </c>
      <c r="AE10" s="2" t="s">
        <v>85</v>
      </c>
      <c r="AF10" s="2" t="s">
        <v>95</v>
      </c>
      <c r="AG10" s="2" t="s">
        <v>87</v>
      </c>
      <c r="AH10" s="2" t="s">
        <v>89</v>
      </c>
      <c r="AI10" s="2" t="s">
        <v>91</v>
      </c>
      <c r="AJ10" s="2" t="s">
        <v>92</v>
      </c>
      <c r="AK10" s="2" t="s">
        <v>93</v>
      </c>
    </row>
    <row r="11">
      <c r="A11" s="2" t="s">
        <v>121</v>
      </c>
      <c r="B11" s="2" t="str">
        <f t="array" ref="B11:AK11">TRANSPOSE(SORT(TRANSPOSE(Cleanup!$E$1:$AN$1), TRANSPOSE(MATCH(Cleanup!$E11:$AN11, {"First Choice Group", "Second Choice", "Third Choice Group", "Cannot TA Group (explain below)"}, 0)), TRUE))</f>
        <v>CS 0007</v>
      </c>
      <c r="C11" s="2" t="s">
        <v>48</v>
      </c>
      <c r="D11" s="2" t="s">
        <v>74</v>
      </c>
      <c r="E11" s="2" t="s">
        <v>61</v>
      </c>
      <c r="F11" s="2" t="s">
        <v>24</v>
      </c>
      <c r="G11" s="2" t="s">
        <v>31</v>
      </c>
      <c r="H11" s="2" t="s">
        <v>73</v>
      </c>
      <c r="I11" s="2" t="s">
        <v>84</v>
      </c>
      <c r="J11" s="2" t="s">
        <v>62</v>
      </c>
      <c r="K11" s="2" t="s">
        <v>64</v>
      </c>
      <c r="L11" s="2" t="s">
        <v>67</v>
      </c>
      <c r="M11" s="2" t="s">
        <v>39</v>
      </c>
      <c r="N11" s="2" t="s">
        <v>75</v>
      </c>
      <c r="O11" s="2" t="s">
        <v>76</v>
      </c>
      <c r="P11" s="2" t="s">
        <v>78</v>
      </c>
      <c r="Q11" s="2" t="s">
        <v>79</v>
      </c>
      <c r="R11" s="2" t="s">
        <v>85</v>
      </c>
      <c r="S11" s="2" t="s">
        <v>95</v>
      </c>
      <c r="T11" s="2" t="s">
        <v>63</v>
      </c>
      <c r="U11" s="2" t="s">
        <v>65</v>
      </c>
      <c r="V11" s="2" t="s">
        <v>66</v>
      </c>
      <c r="W11" s="2" t="s">
        <v>68</v>
      </c>
      <c r="X11" s="2" t="s">
        <v>57</v>
      </c>
      <c r="Y11" s="2" t="s">
        <v>71</v>
      </c>
      <c r="Z11" s="2" t="s">
        <v>77</v>
      </c>
      <c r="AA11" s="2" t="s">
        <v>80</v>
      </c>
      <c r="AB11" s="2" t="s">
        <v>82</v>
      </c>
      <c r="AC11" s="2" t="s">
        <v>83</v>
      </c>
      <c r="AD11" s="2" t="s">
        <v>86</v>
      </c>
      <c r="AE11" s="2" t="s">
        <v>87</v>
      </c>
      <c r="AF11" s="2" t="s">
        <v>89</v>
      </c>
      <c r="AG11" s="2" t="s">
        <v>69</v>
      </c>
      <c r="AH11" s="2" t="s">
        <v>90</v>
      </c>
      <c r="AI11" s="2" t="s">
        <v>91</v>
      </c>
      <c r="AJ11" s="2" t="s">
        <v>92</v>
      </c>
      <c r="AK11" s="2" t="s">
        <v>93</v>
      </c>
    </row>
    <row r="12">
      <c r="A12" s="2" t="s">
        <v>123</v>
      </c>
      <c r="B12" s="2" t="str">
        <f t="array" ref="B12:AK12">TRANSPOSE(SORT(TRANSPOSE(Cleanup!$E$1:$AN$1), TRANSPOSE(MATCH(Cleanup!$E12:$AN12, {"First Choice Group", "Second Choice", "Third Choice Group", "Cannot TA Group (explain below)"}, 0)), TRUE))</f>
        <v>CS 0007</v>
      </c>
      <c r="C12" s="2" t="s">
        <v>24</v>
      </c>
      <c r="D12" s="2" t="s">
        <v>31</v>
      </c>
      <c r="E12" s="2" t="s">
        <v>48</v>
      </c>
      <c r="F12" s="2" t="s">
        <v>78</v>
      </c>
      <c r="G12" s="2" t="s">
        <v>79</v>
      </c>
      <c r="H12" s="2" t="s">
        <v>95</v>
      </c>
      <c r="I12" s="2" t="s">
        <v>62</v>
      </c>
      <c r="J12" s="2" t="s">
        <v>65</v>
      </c>
      <c r="K12" s="2" t="s">
        <v>69</v>
      </c>
      <c r="L12" s="2" t="s">
        <v>74</v>
      </c>
      <c r="M12" s="2" t="s">
        <v>76</v>
      </c>
      <c r="N12" s="2" t="s">
        <v>86</v>
      </c>
      <c r="O12" s="2" t="s">
        <v>64</v>
      </c>
      <c r="P12" s="2" t="s">
        <v>67</v>
      </c>
      <c r="Q12" s="2" t="s">
        <v>39</v>
      </c>
      <c r="R12" s="2" t="s">
        <v>57</v>
      </c>
      <c r="S12" s="2" t="s">
        <v>71</v>
      </c>
      <c r="T12" s="2" t="s">
        <v>73</v>
      </c>
      <c r="U12" s="2" t="s">
        <v>85</v>
      </c>
      <c r="V12" s="2" t="s">
        <v>63</v>
      </c>
      <c r="W12" s="2" t="s">
        <v>68</v>
      </c>
      <c r="X12" s="2" t="s">
        <v>75</v>
      </c>
      <c r="Y12" s="2" t="s">
        <v>77</v>
      </c>
      <c r="Z12" s="2" t="s">
        <v>80</v>
      </c>
      <c r="AA12" s="2" t="s">
        <v>82</v>
      </c>
      <c r="AB12" s="2" t="s">
        <v>83</v>
      </c>
      <c r="AC12" s="2" t="s">
        <v>84</v>
      </c>
      <c r="AD12" s="2" t="s">
        <v>61</v>
      </c>
      <c r="AE12" s="2" t="s">
        <v>87</v>
      </c>
      <c r="AF12" s="2" t="s">
        <v>89</v>
      </c>
      <c r="AG12" s="2" t="s">
        <v>90</v>
      </c>
      <c r="AH12" s="2" t="s">
        <v>91</v>
      </c>
      <c r="AI12" s="2" t="s">
        <v>92</v>
      </c>
      <c r="AJ12" s="2" t="s">
        <v>66</v>
      </c>
      <c r="AK12" s="2" t="s">
        <v>93</v>
      </c>
    </row>
    <row r="13">
      <c r="A13" s="2" t="s">
        <v>124</v>
      </c>
      <c r="B13" s="2" t="str">
        <f t="array" ref="B13:AK13">TRANSPOSE(SORT(TRANSPOSE(Cleanup!$E$1:$AN$1), TRANSPOSE(MATCH(Cleanup!$E13:$AN13, {"First Choice Group", "Second Choice", "Third Choice Group", "Cannot TA Group (explain below)"}, 0)), TRUE))</f>
        <v>CS 2731</v>
      </c>
      <c r="C13" s="2" t="s">
        <v>64</v>
      </c>
      <c r="D13" s="2" t="s">
        <v>66</v>
      </c>
      <c r="E13" s="2" t="s">
        <v>84</v>
      </c>
      <c r="F13" s="2" t="s">
        <v>68</v>
      </c>
      <c r="G13" s="2" t="s">
        <v>70</v>
      </c>
      <c r="H13" s="2" t="s">
        <v>24</v>
      </c>
      <c r="I13" s="2" t="s">
        <v>31</v>
      </c>
      <c r="J13" s="2" t="s">
        <v>39</v>
      </c>
      <c r="K13" s="2" t="s">
        <v>48</v>
      </c>
      <c r="L13" s="2" t="s">
        <v>57</v>
      </c>
      <c r="M13" s="2" t="s">
        <v>71</v>
      </c>
      <c r="N13" s="2" t="s">
        <v>73</v>
      </c>
      <c r="O13" s="2" t="s">
        <v>74</v>
      </c>
      <c r="P13" s="2" t="s">
        <v>75</v>
      </c>
      <c r="Q13" s="2" t="s">
        <v>76</v>
      </c>
      <c r="R13" s="2" t="s">
        <v>77</v>
      </c>
      <c r="S13" s="2" t="s">
        <v>78</v>
      </c>
      <c r="T13" s="2" t="s">
        <v>79</v>
      </c>
      <c r="U13" s="2" t="s">
        <v>80</v>
      </c>
      <c r="V13" s="2" t="s">
        <v>82</v>
      </c>
      <c r="W13" s="2" t="s">
        <v>83</v>
      </c>
      <c r="X13" s="2" t="s">
        <v>85</v>
      </c>
      <c r="Y13" s="2" t="s">
        <v>95</v>
      </c>
      <c r="Z13" s="2" t="s">
        <v>86</v>
      </c>
      <c r="AA13" s="2" t="s">
        <v>61</v>
      </c>
      <c r="AB13" s="2" t="s">
        <v>87</v>
      </c>
      <c r="AC13" s="2" t="s">
        <v>89</v>
      </c>
      <c r="AD13" s="2" t="s">
        <v>62</v>
      </c>
      <c r="AE13" s="2" t="s">
        <v>63</v>
      </c>
      <c r="AF13" s="2" t="s">
        <v>65</v>
      </c>
      <c r="AG13" s="2" t="s">
        <v>69</v>
      </c>
      <c r="AH13" s="2" t="s">
        <v>90</v>
      </c>
      <c r="AI13" s="2" t="s">
        <v>91</v>
      </c>
      <c r="AJ13" s="2" t="s">
        <v>92</v>
      </c>
      <c r="AK13" s="2" t="s">
        <v>93</v>
      </c>
    </row>
    <row r="14">
      <c r="A14" s="2" t="s">
        <v>129</v>
      </c>
      <c r="B14" s="2" t="str">
        <f t="array" ref="B14:AK14">TRANSPOSE(SORT(TRANSPOSE(Cleanup!$E$1:$AN$1), TRANSPOSE(MATCH(Cleanup!$E14:$AN14, {"First Choice Group", "Second Choice", "Third Choice Group", "Cannot TA Group (explain below)"}, 0)), TRUE))</f>
        <v>CMPINF 0401</v>
      </c>
      <c r="C14" s="2" t="s">
        <v>48</v>
      </c>
      <c r="D14" s="2" t="s">
        <v>57</v>
      </c>
      <c r="E14" s="2" t="s">
        <v>74</v>
      </c>
      <c r="F14" s="2" t="s">
        <v>90</v>
      </c>
      <c r="G14" s="2" t="s">
        <v>70</v>
      </c>
      <c r="H14" s="2" t="s">
        <v>95</v>
      </c>
      <c r="I14" s="2" t="s">
        <v>39</v>
      </c>
      <c r="J14" s="2" t="s">
        <v>71</v>
      </c>
      <c r="K14" s="2" t="s">
        <v>75</v>
      </c>
      <c r="L14" s="2" t="s">
        <v>76</v>
      </c>
      <c r="M14" s="2" t="s">
        <v>77</v>
      </c>
      <c r="N14" s="2" t="s">
        <v>79</v>
      </c>
      <c r="O14" s="2" t="s">
        <v>80</v>
      </c>
      <c r="P14" s="2" t="s">
        <v>82</v>
      </c>
      <c r="Q14" s="2" t="s">
        <v>83</v>
      </c>
      <c r="R14" s="2" t="s">
        <v>61</v>
      </c>
      <c r="S14" s="2" t="s">
        <v>65</v>
      </c>
      <c r="T14" s="2" t="s">
        <v>91</v>
      </c>
      <c r="U14" s="2" t="s">
        <v>24</v>
      </c>
      <c r="V14" s="2" t="s">
        <v>73</v>
      </c>
      <c r="W14" s="2" t="s">
        <v>78</v>
      </c>
      <c r="X14" s="2" t="s">
        <v>84</v>
      </c>
      <c r="Y14" s="2" t="s">
        <v>85</v>
      </c>
      <c r="Z14" s="2" t="s">
        <v>86</v>
      </c>
      <c r="AA14" s="2" t="s">
        <v>87</v>
      </c>
      <c r="AB14" s="2" t="s">
        <v>89</v>
      </c>
      <c r="AC14" s="2" t="s">
        <v>62</v>
      </c>
      <c r="AD14" s="2" t="s">
        <v>63</v>
      </c>
      <c r="AE14" s="2" t="s">
        <v>64</v>
      </c>
      <c r="AF14" s="2" t="s">
        <v>69</v>
      </c>
      <c r="AG14" s="2" t="s">
        <v>92</v>
      </c>
      <c r="AH14" s="2" t="s">
        <v>66</v>
      </c>
      <c r="AI14" s="2" t="s">
        <v>67</v>
      </c>
      <c r="AJ14" s="2" t="s">
        <v>68</v>
      </c>
      <c r="AK14" s="2" t="s">
        <v>93</v>
      </c>
    </row>
    <row r="15">
      <c r="A15" s="2" t="s">
        <v>131</v>
      </c>
      <c r="B15" s="2" t="str">
        <f t="array" ref="B15:AK15">TRANSPOSE(SORT(TRANSPOSE(Cleanup!$E$1:$AN$1), TRANSPOSE(MATCH(Cleanup!$E15:$AN15, {"First Choice Group", "Second Choice", "Third Choice Group", "Cannot TA Group (explain below)"}, 0)), TRUE))</f>
        <v>CS 0007</v>
      </c>
      <c r="C15" s="2" t="s">
        <v>24</v>
      </c>
      <c r="D15" s="2" t="s">
        <v>31</v>
      </c>
      <c r="E15" s="2" t="s">
        <v>39</v>
      </c>
      <c r="F15" s="2" t="s">
        <v>48</v>
      </c>
      <c r="G15" s="2" t="s">
        <v>57</v>
      </c>
      <c r="H15" s="2" t="s">
        <v>71</v>
      </c>
      <c r="I15" s="2" t="s">
        <v>73</v>
      </c>
      <c r="J15" s="2" t="s">
        <v>77</v>
      </c>
      <c r="K15" s="2" t="s">
        <v>78</v>
      </c>
      <c r="L15" s="2" t="s">
        <v>74</v>
      </c>
      <c r="M15" s="2" t="s">
        <v>79</v>
      </c>
      <c r="N15" s="2" t="s">
        <v>84</v>
      </c>
      <c r="O15" s="2" t="s">
        <v>85</v>
      </c>
      <c r="P15" s="2" t="s">
        <v>95</v>
      </c>
      <c r="Q15" s="2" t="s">
        <v>61</v>
      </c>
      <c r="R15" s="2" t="s">
        <v>87</v>
      </c>
      <c r="S15" s="2" t="s">
        <v>62</v>
      </c>
      <c r="T15" s="2" t="s">
        <v>65</v>
      </c>
      <c r="U15" s="2" t="s">
        <v>69</v>
      </c>
      <c r="V15" s="2" t="s">
        <v>90</v>
      </c>
      <c r="W15" s="2" t="s">
        <v>91</v>
      </c>
      <c r="X15" s="2" t="s">
        <v>66</v>
      </c>
      <c r="Y15" s="2" t="s">
        <v>67</v>
      </c>
      <c r="Z15" s="2" t="s">
        <v>68</v>
      </c>
      <c r="AA15" s="2" t="s">
        <v>75</v>
      </c>
      <c r="AB15" s="2" t="s">
        <v>76</v>
      </c>
      <c r="AC15" s="2" t="s">
        <v>82</v>
      </c>
      <c r="AD15" s="2" t="s">
        <v>86</v>
      </c>
      <c r="AE15" s="2" t="s">
        <v>89</v>
      </c>
      <c r="AF15" s="2" t="s">
        <v>64</v>
      </c>
      <c r="AG15" s="2" t="s">
        <v>80</v>
      </c>
      <c r="AH15" s="2" t="s">
        <v>83</v>
      </c>
      <c r="AI15" s="2" t="s">
        <v>63</v>
      </c>
      <c r="AJ15" s="2" t="s">
        <v>92</v>
      </c>
      <c r="AK15" s="2" t="s">
        <v>93</v>
      </c>
    </row>
    <row r="16">
      <c r="A16" s="2" t="s">
        <v>132</v>
      </c>
      <c r="B16" s="2" t="str">
        <f t="array" ref="B16:AK16">TRANSPOSE(SORT(TRANSPOSE(Cleanup!$E$1:$AN$1), TRANSPOSE(MATCH(Cleanup!$E16:$AN16, {"First Choice Group", "Second Choice", "Third Choice Group", "Cannot TA Group (explain below)"}, 0)), TRUE))</f>
        <v>CS 0447</v>
      </c>
      <c r="C16" s="2" t="s">
        <v>71</v>
      </c>
      <c r="D16" s="2" t="s">
        <v>75</v>
      </c>
      <c r="E16" s="2" t="s">
        <v>78</v>
      </c>
      <c r="F16" s="2" t="s">
        <v>80</v>
      </c>
      <c r="G16" s="2" t="s">
        <v>91</v>
      </c>
      <c r="H16" s="2" t="s">
        <v>67</v>
      </c>
      <c r="I16" s="2" t="s">
        <v>39</v>
      </c>
      <c r="J16" s="2" t="s">
        <v>74</v>
      </c>
      <c r="K16" s="2" t="s">
        <v>77</v>
      </c>
      <c r="L16" s="2" t="s">
        <v>84</v>
      </c>
      <c r="M16" s="2" t="s">
        <v>89</v>
      </c>
      <c r="N16" s="2" t="s">
        <v>62</v>
      </c>
      <c r="O16" s="2" t="s">
        <v>64</v>
      </c>
      <c r="P16" s="2" t="s">
        <v>65</v>
      </c>
      <c r="Q16" s="2" t="s">
        <v>66</v>
      </c>
      <c r="R16" s="2" t="s">
        <v>68</v>
      </c>
      <c r="S16" s="2" t="s">
        <v>93</v>
      </c>
      <c r="T16" s="2" t="s">
        <v>70</v>
      </c>
      <c r="U16" s="2" t="s">
        <v>24</v>
      </c>
      <c r="V16" s="2" t="s">
        <v>31</v>
      </c>
      <c r="W16" s="2" t="s">
        <v>48</v>
      </c>
      <c r="X16" s="2" t="s">
        <v>73</v>
      </c>
      <c r="Y16" s="2" t="s">
        <v>76</v>
      </c>
      <c r="Z16" s="2" t="s">
        <v>79</v>
      </c>
      <c r="AA16" s="2" t="s">
        <v>82</v>
      </c>
      <c r="AB16" s="2" t="s">
        <v>83</v>
      </c>
      <c r="AC16" s="2" t="s">
        <v>85</v>
      </c>
      <c r="AD16" s="2" t="s">
        <v>95</v>
      </c>
      <c r="AE16" s="2" t="s">
        <v>86</v>
      </c>
      <c r="AF16" s="2" t="s">
        <v>61</v>
      </c>
      <c r="AG16" s="2" t="s">
        <v>87</v>
      </c>
      <c r="AH16" s="2" t="s">
        <v>63</v>
      </c>
      <c r="AI16" s="2" t="s">
        <v>69</v>
      </c>
      <c r="AJ16" s="2" t="s">
        <v>90</v>
      </c>
      <c r="AK16" s="2" t="s">
        <v>92</v>
      </c>
    </row>
    <row r="17">
      <c r="A17" s="2" t="s">
        <v>138</v>
      </c>
      <c r="B17" s="2" t="str">
        <f t="array" ref="B17:AK17">TRANSPOSE(SORT(TRANSPOSE(Cleanup!$E$1:$AN$1), TRANSPOSE(MATCH(Cleanup!$E17:$AN17, {"First Choice Group", "Second Choice", "Third Choice Group", "Cannot TA Group (explain below)"}, 0)), TRUE))</f>
        <v>CS 1632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90</v>
      </c>
      <c r="H17" s="2" t="s">
        <v>67</v>
      </c>
      <c r="I17" s="2" t="s">
        <v>76</v>
      </c>
      <c r="J17" s="2" t="s">
        <v>84</v>
      </c>
      <c r="K17" s="2" t="s">
        <v>68</v>
      </c>
      <c r="L17" s="2" t="s">
        <v>70</v>
      </c>
      <c r="M17" s="2" t="s">
        <v>24</v>
      </c>
      <c r="N17" s="2" t="s">
        <v>31</v>
      </c>
      <c r="O17" s="2" t="s">
        <v>75</v>
      </c>
      <c r="P17" s="2" t="s">
        <v>78</v>
      </c>
      <c r="Q17" s="2" t="s">
        <v>82</v>
      </c>
      <c r="R17" s="2" t="s">
        <v>61</v>
      </c>
      <c r="S17" s="2" t="s">
        <v>69</v>
      </c>
      <c r="T17" s="2" t="s">
        <v>91</v>
      </c>
      <c r="U17" s="2" t="s">
        <v>66</v>
      </c>
      <c r="V17" s="2" t="s">
        <v>39</v>
      </c>
      <c r="W17" s="2" t="s">
        <v>48</v>
      </c>
      <c r="X17" s="2" t="s">
        <v>57</v>
      </c>
      <c r="Y17" s="2" t="s">
        <v>71</v>
      </c>
      <c r="Z17" s="2" t="s">
        <v>73</v>
      </c>
      <c r="AA17" s="2" t="s">
        <v>74</v>
      </c>
      <c r="AB17" s="2" t="s">
        <v>77</v>
      </c>
      <c r="AC17" s="2" t="s">
        <v>79</v>
      </c>
      <c r="AD17" s="2" t="s">
        <v>80</v>
      </c>
      <c r="AE17" s="2" t="s">
        <v>83</v>
      </c>
      <c r="AF17" s="2" t="s">
        <v>95</v>
      </c>
      <c r="AG17" s="2" t="s">
        <v>86</v>
      </c>
      <c r="AH17" s="2" t="s">
        <v>87</v>
      </c>
      <c r="AI17" s="2" t="s">
        <v>89</v>
      </c>
      <c r="AJ17" s="2" t="s">
        <v>92</v>
      </c>
      <c r="AK17" s="2" t="s">
        <v>93</v>
      </c>
    </row>
    <row r="18">
      <c r="A18" s="2" t="s">
        <v>139</v>
      </c>
      <c r="B18" s="2" t="str">
        <f t="array" ref="B18:AK18">TRANSPOSE(SORT(TRANSPOSE(Cleanup!$E$1:$AN$1), TRANSPOSE(MATCH(Cleanup!$E18:$AN18, {"First Choice Group", "Second Choice", "Third Choice Group", "Cannot TA Group (explain below)"}, 0)), TRUE))</f>
        <v>CS 1501</v>
      </c>
      <c r="C18" s="2" t="s">
        <v>86</v>
      </c>
      <c r="D18" s="2" t="s">
        <v>90</v>
      </c>
      <c r="E18" s="2" t="s">
        <v>70</v>
      </c>
      <c r="F18" s="2" t="s">
        <v>24</v>
      </c>
      <c r="G18" s="2" t="s">
        <v>31</v>
      </c>
      <c r="H18" s="2" t="s">
        <v>48</v>
      </c>
      <c r="I18" s="2" t="s">
        <v>79</v>
      </c>
      <c r="J18" s="2" t="s">
        <v>80</v>
      </c>
      <c r="K18" s="2" t="s">
        <v>84</v>
      </c>
      <c r="L18" s="2" t="s">
        <v>85</v>
      </c>
      <c r="M18" s="2" t="s">
        <v>39</v>
      </c>
      <c r="N18" s="2" t="s">
        <v>57</v>
      </c>
      <c r="O18" s="2" t="s">
        <v>71</v>
      </c>
      <c r="P18" s="2" t="s">
        <v>73</v>
      </c>
      <c r="Q18" s="2" t="s">
        <v>75</v>
      </c>
      <c r="R18" s="2" t="s">
        <v>76</v>
      </c>
      <c r="S18" s="2" t="s">
        <v>77</v>
      </c>
      <c r="T18" s="2" t="s">
        <v>78</v>
      </c>
      <c r="U18" s="2" t="s">
        <v>82</v>
      </c>
      <c r="V18" s="2" t="s">
        <v>83</v>
      </c>
      <c r="W18" s="2" t="s">
        <v>95</v>
      </c>
      <c r="X18" s="2" t="s">
        <v>61</v>
      </c>
      <c r="Y18" s="2" t="s">
        <v>87</v>
      </c>
      <c r="Z18" s="2" t="s">
        <v>89</v>
      </c>
      <c r="AA18" s="2" t="s">
        <v>62</v>
      </c>
      <c r="AB18" s="2" t="s">
        <v>63</v>
      </c>
      <c r="AC18" s="2" t="s">
        <v>64</v>
      </c>
      <c r="AD18" s="2" t="s">
        <v>65</v>
      </c>
      <c r="AE18" s="2" t="s">
        <v>69</v>
      </c>
      <c r="AF18" s="2" t="s">
        <v>91</v>
      </c>
      <c r="AG18" s="2" t="s">
        <v>92</v>
      </c>
      <c r="AH18" s="2" t="s">
        <v>66</v>
      </c>
      <c r="AI18" s="2" t="s">
        <v>67</v>
      </c>
      <c r="AJ18" s="2" t="s">
        <v>68</v>
      </c>
      <c r="AK18" s="2" t="s">
        <v>93</v>
      </c>
    </row>
    <row r="19">
      <c r="A19" s="2" t="s">
        <v>140</v>
      </c>
      <c r="B19" s="2" t="str">
        <f t="array" ref="B19:AK19">TRANSPOSE(SORT(TRANSPOSE(Cleanup!$E$1:$AN$1), TRANSPOSE(MATCH(Cleanup!$E19:$AN19, {"First Choice Group", "Second Choice", "Third Choice Group", "Cannot TA Group (explain below)"}, 0)), TRUE))</f>
        <v>CS 0007</v>
      </c>
      <c r="C19" s="2" t="s">
        <v>39</v>
      </c>
      <c r="D19" s="1" t="s">
        <v>76</v>
      </c>
      <c r="E19" s="2" t="s">
        <v>82</v>
      </c>
      <c r="F19" s="2" t="s">
        <v>83</v>
      </c>
      <c r="G19" s="2" t="s">
        <v>84</v>
      </c>
      <c r="H19" s="2" t="s">
        <v>61</v>
      </c>
      <c r="I19" s="2" t="s">
        <v>87</v>
      </c>
      <c r="J19" s="2" t="s">
        <v>63</v>
      </c>
      <c r="K19" s="2" t="s">
        <v>64</v>
      </c>
      <c r="L19" s="2" t="s">
        <v>69</v>
      </c>
      <c r="M19" s="2" t="s">
        <v>67</v>
      </c>
      <c r="N19" s="2" t="s">
        <v>68</v>
      </c>
      <c r="O19" s="2" t="s">
        <v>24</v>
      </c>
      <c r="P19" s="2" t="s">
        <v>31</v>
      </c>
      <c r="Q19" s="2" t="s">
        <v>48</v>
      </c>
      <c r="R19" s="2" t="s">
        <v>71</v>
      </c>
      <c r="S19" s="2" t="s">
        <v>73</v>
      </c>
      <c r="T19" s="2" t="s">
        <v>75</v>
      </c>
      <c r="U19" s="2" t="s">
        <v>78</v>
      </c>
      <c r="V19" s="2" t="s">
        <v>79</v>
      </c>
      <c r="W19" s="2" t="s">
        <v>85</v>
      </c>
      <c r="X19" s="2" t="s">
        <v>86</v>
      </c>
      <c r="Y19" s="2" t="s">
        <v>89</v>
      </c>
      <c r="Z19" s="2" t="s">
        <v>62</v>
      </c>
      <c r="AA19" s="2" t="s">
        <v>65</v>
      </c>
      <c r="AB19" s="2" t="s">
        <v>90</v>
      </c>
      <c r="AC19" s="2" t="s">
        <v>66</v>
      </c>
      <c r="AD19" s="2" t="s">
        <v>57</v>
      </c>
      <c r="AE19" s="2" t="s">
        <v>74</v>
      </c>
      <c r="AF19" s="2" t="s">
        <v>77</v>
      </c>
      <c r="AG19" s="2" t="s">
        <v>80</v>
      </c>
      <c r="AH19" s="2" t="s">
        <v>95</v>
      </c>
      <c r="AI19" s="2" t="s">
        <v>92</v>
      </c>
      <c r="AJ19" s="2" t="s">
        <v>93</v>
      </c>
      <c r="AK19" s="2" t="s">
        <v>91</v>
      </c>
    </row>
    <row r="20">
      <c r="A20" s="2" t="s">
        <v>146</v>
      </c>
      <c r="B20" s="2" t="str">
        <f t="array" ref="B20:AK20">TRANSPOSE(SORT(TRANSPOSE(Cleanup!$E$1:$AN$1), TRANSPOSE(MATCH(Cleanup!$E20:$AN20, {"First Choice Group", "Second Choice", "Third Choice Group", "Cannot TA Group (explain below)"}, 0)), TRUE))</f>
        <v>CS 0007</v>
      </c>
      <c r="C20" s="2" t="s">
        <v>24</v>
      </c>
      <c r="D20" s="2" t="s">
        <v>31</v>
      </c>
      <c r="E20" s="2" t="s">
        <v>78</v>
      </c>
      <c r="F20" s="2" t="s">
        <v>84</v>
      </c>
      <c r="G20" s="2" t="s">
        <v>61</v>
      </c>
      <c r="H20" s="2" t="s">
        <v>87</v>
      </c>
      <c r="I20" s="2" t="s">
        <v>62</v>
      </c>
      <c r="J20" s="2" t="s">
        <v>67</v>
      </c>
      <c r="K20" s="2" t="s">
        <v>73</v>
      </c>
      <c r="L20" s="2" t="s">
        <v>64</v>
      </c>
      <c r="M20" s="2" t="s">
        <v>91</v>
      </c>
      <c r="N20" s="2" t="s">
        <v>66</v>
      </c>
      <c r="O20" s="2" t="s">
        <v>57</v>
      </c>
      <c r="P20" s="2" t="s">
        <v>76</v>
      </c>
      <c r="Q20" s="2" t="s">
        <v>82</v>
      </c>
      <c r="R20" s="2" t="s">
        <v>83</v>
      </c>
      <c r="S20" s="2" t="s">
        <v>85</v>
      </c>
      <c r="T20" s="2" t="s">
        <v>65</v>
      </c>
      <c r="U20" s="2" t="s">
        <v>92</v>
      </c>
      <c r="V20" s="2" t="s">
        <v>68</v>
      </c>
      <c r="W20" s="2" t="s">
        <v>39</v>
      </c>
      <c r="X20" s="2" t="s">
        <v>48</v>
      </c>
      <c r="Y20" s="2" t="s">
        <v>71</v>
      </c>
      <c r="Z20" s="2" t="s">
        <v>74</v>
      </c>
      <c r="AA20" s="2" t="s">
        <v>75</v>
      </c>
      <c r="AB20" s="2" t="s">
        <v>77</v>
      </c>
      <c r="AC20" s="2" t="s">
        <v>79</v>
      </c>
      <c r="AD20" s="2" t="s">
        <v>80</v>
      </c>
      <c r="AE20" s="2" t="s">
        <v>95</v>
      </c>
      <c r="AF20" s="2" t="s">
        <v>86</v>
      </c>
      <c r="AG20" s="2" t="s">
        <v>89</v>
      </c>
      <c r="AH20" s="2" t="s">
        <v>63</v>
      </c>
      <c r="AI20" s="2" t="s">
        <v>69</v>
      </c>
      <c r="AJ20" s="2" t="s">
        <v>90</v>
      </c>
      <c r="AK20" s="2" t="s">
        <v>93</v>
      </c>
    </row>
    <row r="21">
      <c r="A21" s="2" t="s">
        <v>147</v>
      </c>
      <c r="B21" s="2" t="str">
        <f t="array" ref="B21:AK21">TRANSPOSE(SORT(TRANSPOSE(Cleanup!$E$1:$AN$1), TRANSPOSE(MATCH(Cleanup!$E21:$AN21, {"First Choice Group", "Second Choice", "Third Choice Group", "Cannot TA Group (explain below)"}, 0)), TRUE))</f>
        <v>CS 1510/2012</v>
      </c>
      <c r="C21" s="2" t="s">
        <v>95</v>
      </c>
      <c r="D21" s="2" t="s">
        <v>86</v>
      </c>
      <c r="E21" s="2" t="s">
        <v>61</v>
      </c>
      <c r="F21" s="2" t="s">
        <v>62</v>
      </c>
      <c r="G21" s="2" t="s">
        <v>63</v>
      </c>
      <c r="H21" s="2" t="s">
        <v>64</v>
      </c>
      <c r="I21" s="2" t="s">
        <v>65</v>
      </c>
      <c r="J21" s="2" t="s">
        <v>69</v>
      </c>
      <c r="K21" s="2" t="s">
        <v>90</v>
      </c>
      <c r="L21" s="2" t="s">
        <v>66</v>
      </c>
      <c r="M21" s="2" t="s">
        <v>67</v>
      </c>
      <c r="N21" s="2" t="s">
        <v>68</v>
      </c>
      <c r="O21" s="2" t="s">
        <v>24</v>
      </c>
      <c r="P21" s="2" t="s">
        <v>39</v>
      </c>
      <c r="Q21" s="2" t="s">
        <v>74</v>
      </c>
      <c r="R21" s="2" t="s">
        <v>75</v>
      </c>
      <c r="S21" s="2" t="s">
        <v>76</v>
      </c>
      <c r="T21" s="2" t="s">
        <v>82</v>
      </c>
      <c r="U21" s="2" t="s">
        <v>83</v>
      </c>
      <c r="V21" s="2" t="s">
        <v>84</v>
      </c>
      <c r="W21" s="2" t="s">
        <v>87</v>
      </c>
      <c r="X21" s="2" t="s">
        <v>89</v>
      </c>
      <c r="Y21" s="2" t="s">
        <v>92</v>
      </c>
      <c r="Z21" s="2" t="s">
        <v>93</v>
      </c>
      <c r="AA21" s="2" t="s">
        <v>70</v>
      </c>
      <c r="AB21" s="2" t="s">
        <v>31</v>
      </c>
      <c r="AC21" s="2" t="s">
        <v>48</v>
      </c>
      <c r="AD21" s="2" t="s">
        <v>57</v>
      </c>
      <c r="AE21" s="2" t="s">
        <v>71</v>
      </c>
      <c r="AF21" s="2" t="s">
        <v>73</v>
      </c>
      <c r="AG21" s="2" t="s">
        <v>78</v>
      </c>
      <c r="AH21" s="2" t="s">
        <v>79</v>
      </c>
      <c r="AI21" s="2" t="s">
        <v>80</v>
      </c>
      <c r="AJ21" s="2" t="s">
        <v>85</v>
      </c>
      <c r="AK21" s="2" t="s">
        <v>91</v>
      </c>
    </row>
    <row r="22">
      <c r="A22" s="2" t="s">
        <v>148</v>
      </c>
      <c r="B22" s="2" t="str">
        <f t="array" ref="B22:AK22">TRANSPOSE(SORT(TRANSPOSE(Cleanup!$E$1:$AN$1), TRANSPOSE(MATCH(Cleanup!$E22:$AN22, {"First Choice Group", "Second Choice", "Third Choice Group", "Cannot TA Group (explain below)"}, 0)), TRUE))</f>
        <v>CS 0007</v>
      </c>
      <c r="C22" s="2" t="s">
        <v>31</v>
      </c>
      <c r="D22" s="2" t="s">
        <v>24</v>
      </c>
      <c r="E22" s="2" t="s">
        <v>39</v>
      </c>
      <c r="F22" s="2" t="s">
        <v>48</v>
      </c>
      <c r="G22" s="2" t="s">
        <v>57</v>
      </c>
      <c r="H22" s="2" t="s">
        <v>71</v>
      </c>
      <c r="I22" s="2" t="s">
        <v>74</v>
      </c>
      <c r="J22" s="2" t="s">
        <v>75</v>
      </c>
      <c r="K22" s="2" t="s">
        <v>77</v>
      </c>
      <c r="L22" s="2" t="s">
        <v>80</v>
      </c>
      <c r="M22" s="2" t="s">
        <v>82</v>
      </c>
      <c r="N22" s="2" t="s">
        <v>61</v>
      </c>
      <c r="O22" s="2" t="s">
        <v>64</v>
      </c>
      <c r="P22" s="2" t="s">
        <v>73</v>
      </c>
      <c r="Q22" s="2" t="s">
        <v>76</v>
      </c>
      <c r="R22" s="2" t="s">
        <v>78</v>
      </c>
      <c r="S22" s="2" t="s">
        <v>79</v>
      </c>
      <c r="T22" s="2" t="s">
        <v>83</v>
      </c>
      <c r="U22" s="2" t="s">
        <v>84</v>
      </c>
      <c r="V22" s="2" t="s">
        <v>85</v>
      </c>
      <c r="W22" s="2" t="s">
        <v>95</v>
      </c>
      <c r="X22" s="2" t="s">
        <v>86</v>
      </c>
      <c r="Y22" s="2" t="s">
        <v>87</v>
      </c>
      <c r="Z22" s="2" t="s">
        <v>89</v>
      </c>
      <c r="AA22" s="2" t="s">
        <v>62</v>
      </c>
      <c r="AB22" s="2" t="s">
        <v>63</v>
      </c>
      <c r="AC22" s="2" t="s">
        <v>65</v>
      </c>
      <c r="AD22" s="2" t="s">
        <v>69</v>
      </c>
      <c r="AE22" s="2" t="s">
        <v>90</v>
      </c>
      <c r="AF22" s="2" t="s">
        <v>91</v>
      </c>
      <c r="AG22" s="2" t="s">
        <v>92</v>
      </c>
      <c r="AH22" s="2" t="s">
        <v>66</v>
      </c>
      <c r="AI22" s="2" t="s">
        <v>67</v>
      </c>
      <c r="AJ22" s="2" t="s">
        <v>68</v>
      </c>
      <c r="AK22" s="2" t="s">
        <v>93</v>
      </c>
    </row>
    <row r="23">
      <c r="A23" s="2" t="s">
        <v>149</v>
      </c>
      <c r="B23" s="2" t="str">
        <f t="array" ref="B23:AK23">TRANSPOSE(SORT(TRANSPOSE(Cleanup!$E$1:$AN$1), TRANSPOSE(MATCH(Cleanup!$E23:$AN23, {"First Choice Group", "Second Choice", "Third Choice Group", "Cannot TA Group (explain below)"}, 0)), TRUE))</f>
        <v>CS 0441</v>
      </c>
      <c r="C23" s="2" t="s">
        <v>75</v>
      </c>
      <c r="D23" s="2" t="s">
        <v>76</v>
      </c>
      <c r="E23" s="2" t="s">
        <v>77</v>
      </c>
      <c r="F23" s="2" t="s">
        <v>93</v>
      </c>
      <c r="G23" s="2" t="s">
        <v>84</v>
      </c>
      <c r="H23" s="2" t="s">
        <v>64</v>
      </c>
      <c r="I23" s="2" t="s">
        <v>92</v>
      </c>
      <c r="J23" s="2" t="s">
        <v>66</v>
      </c>
      <c r="K23" s="2" t="s">
        <v>68</v>
      </c>
      <c r="L23" s="2" t="s">
        <v>70</v>
      </c>
      <c r="M23" s="2" t="s">
        <v>24</v>
      </c>
      <c r="N23" s="2" t="s">
        <v>31</v>
      </c>
      <c r="O23" s="2" t="s">
        <v>48</v>
      </c>
      <c r="P23" s="2" t="s">
        <v>57</v>
      </c>
      <c r="Q23" s="2" t="s">
        <v>71</v>
      </c>
      <c r="R23" s="2" t="s">
        <v>73</v>
      </c>
      <c r="S23" s="2" t="s">
        <v>74</v>
      </c>
      <c r="T23" s="2" t="s">
        <v>78</v>
      </c>
      <c r="U23" s="2" t="s">
        <v>79</v>
      </c>
      <c r="V23" s="2" t="s">
        <v>80</v>
      </c>
      <c r="W23" s="2" t="s">
        <v>82</v>
      </c>
      <c r="X23" s="2" t="s">
        <v>83</v>
      </c>
      <c r="Y23" s="2" t="s">
        <v>85</v>
      </c>
      <c r="Z23" s="2" t="s">
        <v>95</v>
      </c>
      <c r="AA23" s="2" t="s">
        <v>86</v>
      </c>
      <c r="AB23" s="2" t="s">
        <v>61</v>
      </c>
      <c r="AC23" s="2" t="s">
        <v>87</v>
      </c>
      <c r="AD23" s="2" t="s">
        <v>89</v>
      </c>
      <c r="AE23" s="2" t="s">
        <v>62</v>
      </c>
      <c r="AF23" s="2" t="s">
        <v>63</v>
      </c>
      <c r="AG23" s="2" t="s">
        <v>65</v>
      </c>
      <c r="AH23" s="2" t="s">
        <v>69</v>
      </c>
      <c r="AI23" s="2" t="s">
        <v>90</v>
      </c>
      <c r="AJ23" s="2" t="s">
        <v>91</v>
      </c>
      <c r="AK23" s="2" t="s">
        <v>67</v>
      </c>
    </row>
    <row r="24">
      <c r="A24" s="2" t="s">
        <v>152</v>
      </c>
      <c r="B24" s="2" t="str">
        <f t="array" ref="B24:AK24">TRANSPOSE(SORT(TRANSPOSE(Cleanup!$E$1:$AN$1), TRANSPOSE(MATCH(Cleanup!$E24:$AN24, {"First Choice Group", "Second Choice", "Third Choice Group", "Cannot TA Group (explain below)"}, 0)), TRUE))</f>
        <v>CS 0590</v>
      </c>
      <c r="C24" s="2" t="s">
        <v>76</v>
      </c>
      <c r="D24" s="2" t="s">
        <v>82</v>
      </c>
      <c r="E24" s="2" t="s">
        <v>84</v>
      </c>
      <c r="F24" s="2" t="s">
        <v>61</v>
      </c>
      <c r="G24" s="2" t="s">
        <v>89</v>
      </c>
      <c r="H24" s="2" t="s">
        <v>63</v>
      </c>
      <c r="I24" s="2" t="s">
        <v>64</v>
      </c>
      <c r="J24" s="2" t="s">
        <v>66</v>
      </c>
      <c r="K24" s="2" t="s">
        <v>67</v>
      </c>
      <c r="L24" s="2" t="s">
        <v>70</v>
      </c>
      <c r="M24" s="2" t="s">
        <v>24</v>
      </c>
      <c r="N24" s="2" t="s">
        <v>31</v>
      </c>
      <c r="O24" s="2" t="s">
        <v>39</v>
      </c>
      <c r="P24" s="2" t="s">
        <v>48</v>
      </c>
      <c r="Q24" s="2" t="s">
        <v>57</v>
      </c>
      <c r="R24" s="2" t="s">
        <v>74</v>
      </c>
      <c r="S24" s="2" t="s">
        <v>77</v>
      </c>
      <c r="T24" s="2" t="s">
        <v>78</v>
      </c>
      <c r="U24" s="2" t="s">
        <v>79</v>
      </c>
      <c r="V24" s="2" t="s">
        <v>80</v>
      </c>
      <c r="W24" s="2" t="s">
        <v>83</v>
      </c>
      <c r="X24" s="2" t="s">
        <v>86</v>
      </c>
      <c r="Y24" s="2" t="s">
        <v>87</v>
      </c>
      <c r="Z24" s="2" t="s">
        <v>62</v>
      </c>
      <c r="AA24" s="2" t="s">
        <v>65</v>
      </c>
      <c r="AB24" s="2" t="s">
        <v>69</v>
      </c>
      <c r="AC24" s="2" t="s">
        <v>90</v>
      </c>
      <c r="AD24" s="2" t="s">
        <v>71</v>
      </c>
      <c r="AE24" s="2" t="s">
        <v>75</v>
      </c>
      <c r="AF24" s="2" t="s">
        <v>85</v>
      </c>
      <c r="AG24" s="2" t="s">
        <v>95</v>
      </c>
      <c r="AH24" s="2" t="s">
        <v>91</v>
      </c>
      <c r="AI24" s="2" t="s">
        <v>92</v>
      </c>
      <c r="AJ24" s="2" t="s">
        <v>68</v>
      </c>
      <c r="AK24" s="2" t="s">
        <v>93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</sheetData>
  <conditionalFormatting sqref="B1:AK200">
    <cfRule type="expression" dxfId="5" priority="1">
      <formula>HLOOKUP(B1, INDIRECT("'Cleanup'!1:100"), ROW(), FALSE)="First Choice Group"</formula>
    </cfRule>
  </conditionalFormatting>
  <conditionalFormatting sqref="B1:AK200">
    <cfRule type="expression" dxfId="6" priority="2">
      <formula>HLOOKUP(B1, INDIRECT("'Cleanup'!1:100"), ROW(), FALSE)="Second Choice"</formula>
    </cfRule>
  </conditionalFormatting>
  <conditionalFormatting sqref="B1:AK200">
    <cfRule type="expression" dxfId="7" priority="3">
      <formula>HLOOKUP(B1, INDIRECT("'Cleanup'!1:100"), ROW(), FALSE)="Third Choice Group"</formula>
    </cfRule>
  </conditionalFormatting>
  <conditionalFormatting sqref="B1:AK200">
    <cfRule type="expression" dxfId="8" priority="4">
      <formula>HLOOKUP(B1, INDIRECT("'Cleanup'!1:100"), ROW(), FALSE)="Cannot TA Group (explain below)"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2.25"/>
    <col customWidth="1" min="3" max="3" width="52.63"/>
    <col customWidth="1" min="4" max="4" width="78.63"/>
    <col customWidth="1" min="5" max="5" width="70.25"/>
  </cols>
  <sheetData>
    <row r="1">
      <c r="B1" s="5" t="s">
        <v>5</v>
      </c>
      <c r="C1" s="5" t="s">
        <v>7</v>
      </c>
      <c r="D1" s="5" t="s">
        <v>9</v>
      </c>
      <c r="E1" s="5" t="s">
        <v>10</v>
      </c>
    </row>
    <row r="2">
      <c r="A2" s="2" t="str">
        <f t="array" ref="A2:A37">TRANSPOSE(UNIQUE(Cleanup!E1:AN1))</f>
        <v>CS 0007</v>
      </c>
      <c r="B2" s="1" t="str">
        <f>IFERROR(__xludf.DUMMYFUNCTION("TEXTJOIN("", "", TRUE, IFNA(FILTER(Cleanup!$B$2:$B1000, INDEX(Cleanup!$E$2:$AN1000, 0, MATCH($A2, Cleanup!$E$1:$AN$1, 0)) = B$1), """"))"),"B, D, J, K, N, R, S, U")</f>
        <v>B, D, J, K, N, R, S, U</v>
      </c>
      <c r="C2" s="1" t="str">
        <f>IFERROR(__xludf.DUMMYFUNCTION("TEXTJOIN("", "", TRUE, IFNA(FILTER(Cleanup!$B$2:$B1000, INDEX(Cleanup!$E$2:$AN1000, 0, MATCH($A2, Cleanup!$E$1:$AN$1, 0)) = C$1), """"))"),"M, Q, X")</f>
        <v>M, Q, X</v>
      </c>
      <c r="D2" s="1" t="str">
        <f>IFERROR(__xludf.DUMMYFUNCTION("TEXTJOIN("", "", TRUE, IFNA(FILTER(Cleanup!$B$2:$B1000, INDEX(Cleanup!$E$2:$AN1000, 0, MATCH($A2, Cleanup!$E$1:$AN$1, 0)) = D$1), """"))"),"A, C, E, F, G, O, P, T, V")</f>
        <v>A, C, E, F, G, O, P, T, V</v>
      </c>
      <c r="E2" s="1" t="str">
        <f>IFERROR(__xludf.DUMMYFUNCTION("TEXTJOIN("", "", TRUE, IFNA(FILTER(Cleanup!$B$2:$B1000, INDEX(Cleanup!$E$2:$AN1000, 0, MATCH($A2, Cleanup!$E$1:$AN$1, 0)) = E$1), """"))"),"H, I, L")</f>
        <v>H, I, L</v>
      </c>
    </row>
    <row r="3">
      <c r="A3" s="2" t="s">
        <v>24</v>
      </c>
      <c r="B3" s="1" t="str">
        <f>IFERROR(__xludf.DUMMYFUNCTION("TEXTJOIN("", "", TRUE, IFNA(FILTER(Cleanup!$B$2:$B1000, INDEX(Cleanup!$E$2:$AN1000, 0, MATCH($A3, Cleanup!$E$1:$AN$1, 0)) = B$1), """"))"),"B, D, K, N, S")</f>
        <v>B, D, K, N, S</v>
      </c>
      <c r="C3" s="1" t="str">
        <f>IFERROR(__xludf.DUMMYFUNCTION("TEXTJOIN("", "", TRUE, IFNA(FILTER(Cleanup!$B$2:$B1000, INDEX(Cleanup!$E$2:$AN1000, 0, MATCH($A3, Cleanup!$E$1:$AN$1, 0)) = C$1), """"))"),"J, Q, R, T, U, X")</f>
        <v>J, Q, R, T, U, X</v>
      </c>
      <c r="D3" s="1" t="str">
        <f>IFERROR(__xludf.DUMMYFUNCTION("TEXTJOIN("", "", TRUE, IFNA(FILTER(Cleanup!$B$2:$B1000, INDEX(Cleanup!$E$2:$AN1000, 0, MATCH($A3, Cleanup!$E$1:$AN$1, 0)) = D$1), """"))"),"A, C, E, F, G, O, P, V")</f>
        <v>A, C, E, F, G, O, P, V</v>
      </c>
      <c r="E3" s="1" t="str">
        <f>IFERROR(__xludf.DUMMYFUNCTION("TEXTJOIN("", "", TRUE, IFNA(FILTER(Cleanup!$B$2:$B1000, INDEX(Cleanup!$E$2:$AN1000, 0, MATCH($A3, Cleanup!$E$1:$AN$1, 0)) = E$1), """"))"),"H, I, L, M")</f>
        <v>H, I, L, M</v>
      </c>
    </row>
    <row r="4">
      <c r="A4" s="2" t="s">
        <v>31</v>
      </c>
      <c r="B4" s="1" t="str">
        <f>IFERROR(__xludf.DUMMYFUNCTION("TEXTJOIN("", "", TRUE, IFNA(FILTER(Cleanup!$B$2:$B1000, INDEX(Cleanup!$E$2:$AN1000, 0, MATCH($A4, Cleanup!$E$1:$AN$1, 0)) = B$1), """"))"),"B, D, K, M, N, S, U")</f>
        <v>B, D, K, M, N, S, U</v>
      </c>
      <c r="C4" s="1" t="str">
        <f>IFERROR(__xludf.DUMMYFUNCTION("TEXTJOIN("", "", TRUE, IFNA(FILTER(Cleanup!$B$2:$B1000, INDEX(Cleanup!$E$2:$AN1000, 0, MATCH($A4, Cleanup!$E$1:$AN$1, 0)) = C$1), """"))"),"J, Q, R, X")</f>
        <v>J, Q, R, X</v>
      </c>
      <c r="D4" s="1" t="str">
        <f>IFERROR(__xludf.DUMMYFUNCTION("TEXTJOIN("", "", TRUE, IFNA(FILTER(Cleanup!$B$2:$B1000, INDEX(Cleanup!$E$2:$AN1000, 0, MATCH($A4, Cleanup!$E$1:$AN$1, 0)) = D$1), """"))"),"A, C, E, F, G, O, P, T, V")</f>
        <v>A, C, E, F, G, O, P, T, V</v>
      </c>
      <c r="E4" s="1" t="str">
        <f>IFERROR(__xludf.DUMMYFUNCTION("TEXTJOIN("", "", TRUE, IFNA(FILTER(Cleanup!$B$2:$B1000, INDEX(Cleanup!$E$2:$AN1000, 0, MATCH($A4, Cleanup!$E$1:$AN$1, 0)) = E$1), """"))"),"H, I, L")</f>
        <v>H, I, L</v>
      </c>
    </row>
    <row r="5">
      <c r="A5" s="2" t="s">
        <v>39</v>
      </c>
      <c r="C5" s="1" t="str">
        <f>IFERROR(__xludf.DUMMYFUNCTION("TEXTJOIN("", "", TRUE, IFNA(FILTER(Cleanup!$B$2:$B1000, INDEX(Cleanup!$E$2:$AN1000, 0, MATCH($A5, Cleanup!$E$1:$AN$1, 0)) = C$1), """"))"),"O, T, U, X")</f>
        <v>O, T, U, X</v>
      </c>
      <c r="D5" s="1" t="str">
        <f>IFERROR(__xludf.DUMMYFUNCTION("TEXTJOIN("", "", TRUE, IFNA(FILTER(Cleanup!$B$2:$B1000, INDEX(Cleanup!$E$2:$AN1000, 0, MATCH($A5, Cleanup!$E$1:$AN$1, 0)) = D$1), """"))"),"A, C, E, F, G, J, K, M, Q")</f>
        <v>A, C, E, F, G, J, K, M, Q</v>
      </c>
      <c r="E5" s="1" t="str">
        <f>IFERROR(__xludf.DUMMYFUNCTION("TEXTJOIN("", "", TRUE, IFNA(FILTER(Cleanup!$B$2:$B1000, INDEX(Cleanup!$E$2:$AN1000, 0, MATCH($A5, Cleanup!$E$1:$AN$1, 0)) = E$1), """"))"),"H, I, L, P, S")</f>
        <v>H, I, L, P, S</v>
      </c>
    </row>
    <row r="6">
      <c r="A6" s="2" t="s">
        <v>48</v>
      </c>
      <c r="B6" s="1" t="str">
        <f>IFERROR(__xludf.DUMMYFUNCTION("TEXTJOIN("", "", TRUE, IFNA(FILTER(Cleanup!$B$2:$B1000, INDEX(Cleanup!$E$2:$AN1000, 0, MATCH($A5, Cleanup!$E$1:$AN$1, 0)) = B$1), """"))"),"B, D, N, R, V")</f>
        <v>B, D, N, R, V</v>
      </c>
      <c r="C6" s="1" t="str">
        <f>IFERROR(__xludf.DUMMYFUNCTION("TEXTJOIN("", "", TRUE, IFNA(FILTER(Cleanup!$B$2:$B1000, INDEX(Cleanup!$E$2:$AN1000, 0, MATCH($A6, Cleanup!$E$1:$AN$1, 0)) = C$1), """"))"),"C, Q, R, U, X")</f>
        <v>C, Q, R, U, X</v>
      </c>
      <c r="D6" s="1" t="str">
        <f>IFERROR(__xludf.DUMMYFUNCTION("TEXTJOIN("", "", TRUE, IFNA(FILTER(Cleanup!$B$2:$B1000, INDEX(Cleanup!$E$2:$AN1000, 0, MATCH($A6, Cleanup!$E$1:$AN$1, 0)) = D$1), """"))"),"A, E, F, G, O, T, V")</f>
        <v>A, E, F, G, O, T, V</v>
      </c>
      <c r="E6" s="1" t="str">
        <f>IFERROR(__xludf.DUMMYFUNCTION("TEXTJOIN("", "", TRUE, IFNA(FILTER(Cleanup!$B$2:$B1000, INDEX(Cleanup!$E$2:$AN1000, 0, MATCH($A6, Cleanup!$E$1:$AN$1, 0)) = E$1), """"))"),"D, H, I, L, P, S")</f>
        <v>D, H, I, L, P, S</v>
      </c>
    </row>
    <row r="7">
      <c r="A7" s="2" t="s">
        <v>57</v>
      </c>
      <c r="B7" s="1" t="str">
        <f>IFERROR(__xludf.DUMMYFUNCTION("TEXTJOIN("", "", TRUE, IFNA(FILTER(Cleanup!$B$2:$B1000, INDEX(Cleanup!$E$2:$AN1000, 0, MATCH($A7, Cleanup!$E$1:$AN$1, 0)) = B$1), """"))"),"M, N, O")</f>
        <v>M, N, O</v>
      </c>
      <c r="C7" s="1" t="str">
        <f>IFERROR(__xludf.DUMMYFUNCTION("TEXTJOIN("", "", TRUE, IFNA(FILTER(Cleanup!$B$2:$B1000, INDEX(Cleanup!$E$2:$AN1000, 0, MATCH($A7, Cleanup!$E$1:$AN$1, 0)) = C$1), """"))"),"U, X")</f>
        <v>U, X</v>
      </c>
      <c r="D7" s="1" t="str">
        <f>IFERROR(__xludf.DUMMYFUNCTION("TEXTJOIN("", "", TRUE, IFNA(FILTER(Cleanup!$B$2:$B1000, INDEX(Cleanup!$E$2:$AN1000, 0, MATCH($A7, Cleanup!$E$1:$AN$1, 0)) = D$1), """"))"),"A, B, C, E, F, K, Q, R, S, T, V")</f>
        <v>A, B, C, E, F, K, Q, R, S, T, V</v>
      </c>
      <c r="E7" s="1" t="str">
        <f>IFERROR(__xludf.DUMMYFUNCTION("TEXTJOIN("", "", TRUE, IFNA(FILTER(Cleanup!$B$2:$B1000, INDEX(Cleanup!$E$2:$AN1000, 0, MATCH($A7, Cleanup!$E$1:$AN$1, 0)) = E$1), """"))"),"D, G, H, I, J, L, P")</f>
        <v>D, G, H, I, J, L, P</v>
      </c>
    </row>
    <row r="8">
      <c r="A8" s="2" t="s">
        <v>71</v>
      </c>
      <c r="B8" s="1" t="str">
        <f>IFERROR(__xludf.DUMMYFUNCTION("TEXTJOIN("", "", TRUE, IFNA(FILTER(Cleanup!$B$2:$B1000, INDEX(Cleanup!$E$2:$AN1000, 0, MATCH($A8, Cleanup!$E$1:$AN$1, 0)) = B$1), """"))"),"B, N, O")</f>
        <v>B, N, O</v>
      </c>
      <c r="C8" s="1" t="str">
        <f>IFERROR(__xludf.DUMMYFUNCTION("TEXTJOIN("", "", TRUE, IFNA(FILTER(Cleanup!$B$2:$B1000, INDEX(Cleanup!$E$2:$AN1000, 0, MATCH($A8, Cleanup!$E$1:$AN$1, 0)) = C$1), """"))"),"R, U")</f>
        <v>R, U</v>
      </c>
      <c r="D8" s="1" t="str">
        <f>IFERROR(__xludf.DUMMYFUNCTION("TEXTJOIN("", "", TRUE, IFNA(FILTER(Cleanup!$B$2:$B1000, INDEX(Cleanup!$E$2:$AN1000, 0, MATCH($A8, Cleanup!$E$1:$AN$1, 0)) = D$1), """"))"),"A, C, E, F, K, M, Q, T, V, X")</f>
        <v>A, C, E, F, K, M, Q, T, V, X</v>
      </c>
      <c r="E8" s="1" t="str">
        <f>IFERROR(__xludf.DUMMYFUNCTION("TEXTJOIN("", "", TRUE, IFNA(FILTER(Cleanup!$B$2:$B1000, INDEX(Cleanup!$E$2:$AN1000, 0, MATCH($A8, Cleanup!$E$1:$AN$1, 0)) = E$1), """"))"),"D, G, H, I, J, L, P, S")</f>
        <v>D, G, H, I, J, L, P, S</v>
      </c>
    </row>
    <row r="9">
      <c r="A9" s="2" t="s">
        <v>73</v>
      </c>
      <c r="B9" s="1" t="str">
        <f>IFERROR(__xludf.DUMMYFUNCTION("TEXTJOIN("", "", TRUE, IFNA(FILTER(Cleanup!$B$2:$B1000, INDEX(Cleanup!$E$2:$AN1000, 0, MATCH($A9, Cleanup!$E$1:$AN$1, 0)) = B$1), """"))"),"D, N, X")</f>
        <v>D, N, X</v>
      </c>
      <c r="C9" s="1" t="str">
        <f>IFERROR(__xludf.DUMMYFUNCTION("TEXTJOIN("", "", TRUE, IFNA(FILTER(Cleanup!$B$2:$B1000, INDEX(Cleanup!$E$2:$AN1000, 0, MATCH($A9, Cleanup!$E$1:$AN$1, 0)) = C$1), """"))"),"G, J, R, S")</f>
        <v>G, J, R, S</v>
      </c>
      <c r="D9" s="1" t="str">
        <f>IFERROR(__xludf.DUMMYFUNCTION("TEXTJOIN("", "", TRUE, IFNA(FILTER(Cleanup!$B$2:$B1000, INDEX(Cleanup!$E$2:$AN1000, 0, MATCH($A9, Cleanup!$E$1:$AN$1, 0)) = D$1), """"))"),"A, B, C, E, F, K, O, Q, T, U, V")</f>
        <v>A, B, C, E, F, K, O, Q, T, U, V</v>
      </c>
      <c r="E9" s="1" t="str">
        <f>IFERROR(__xludf.DUMMYFUNCTION("TEXTJOIN("", "", TRUE, IFNA(FILTER(Cleanup!$B$2:$B1000, INDEX(Cleanup!$E$2:$AN1000, 0, MATCH($A9, Cleanup!$E$1:$AN$1, 0)) = E$1), """"))"),"H, I, L, M, P")</f>
        <v>H, I, L, M, P</v>
      </c>
    </row>
    <row r="10">
      <c r="A10" s="2" t="s">
        <v>74</v>
      </c>
      <c r="B10" s="1" t="str">
        <f>IFERROR(__xludf.DUMMYFUNCTION("TEXTJOIN("", "", TRUE, IFNA(FILTER(Cleanup!$B$2:$B1000, INDEX(Cleanup!$E$2:$AN1000, 0, MATCH($A10, Cleanup!$E$1:$AN$1, 0)) = B$1), """"))"),"B, J, M, Q")</f>
        <v>B, J, M, Q</v>
      </c>
      <c r="C10" s="1" t="str">
        <f>IFERROR(__xludf.DUMMYFUNCTION("TEXTJOIN("", "", TRUE, IFNA(FILTER(Cleanup!$B$2:$B1000, INDEX(Cleanup!$E$2:$AN1000, 0, MATCH($A10, Cleanup!$E$1:$AN$1, 0)) = C$1), """"))"),"H, K, N, O, T, U, X")</f>
        <v>H, K, N, O, T, U, X</v>
      </c>
      <c r="D10" s="1" t="str">
        <f>IFERROR(__xludf.DUMMYFUNCTION("TEXTJOIN("", "", TRUE, IFNA(FILTER(Cleanup!$B$2:$B1000, INDEX(Cleanup!$E$2:$AN1000, 0, MATCH($A10, Cleanup!$E$1:$AN$1, 0)) = D$1), """"))"),"A, C, E, F, G, R, V")</f>
        <v>A, C, E, F, G, R, V</v>
      </c>
      <c r="E10" s="1" t="str">
        <f>IFERROR(__xludf.DUMMYFUNCTION("TEXTJOIN("", "", TRUE, IFNA(FILTER(Cleanup!$B$2:$B1000, INDEX(Cleanup!$E$2:$AN1000, 0, MATCH($A10, Cleanup!$E$1:$AN$1, 0)) = E$1), """"))"),"D, I, L, P, S")</f>
        <v>D, I, L, P, S</v>
      </c>
    </row>
    <row r="11">
      <c r="A11" s="2" t="s">
        <v>75</v>
      </c>
      <c r="B11" s="1" t="str">
        <f>IFERROR(__xludf.DUMMYFUNCTION("TEXTJOIN("", "", TRUE, IFNA(FILTER(Cleanup!$B$2:$B1000, INDEX(Cleanup!$E$2:$AN1000, 0, MATCH($A11, Cleanup!$E$1:$AN$1, 0)) = B$1), """"))"),"O, V")</f>
        <v>O, V</v>
      </c>
      <c r="C11" s="1" t="str">
        <f>IFERROR(__xludf.DUMMYFUNCTION("TEXTJOIN("", "", TRUE, IFNA(FILTER(Cleanup!$B$2:$B1000, INDEX(Cleanup!$E$2:$AN1000, 0, MATCH($A11, Cleanup!$E$1:$AN$1, 0)) = C$1), """"))"),"R, T, U")</f>
        <v>R, T, U</v>
      </c>
      <c r="D11" s="1" t="str">
        <f>IFERROR(__xludf.DUMMYFUNCTION("TEXTJOIN("", "", TRUE, IFNA(FILTER(Cleanup!$B$2:$B1000, INDEX(Cleanup!$E$2:$AN1000, 0, MATCH($A11, Cleanup!$E$1:$AN$1, 0)) = D$1), """"))"),"A, B, C, E, F, J, M, N, P, Q, X")</f>
        <v>A, B, C, E, F, J, M, N, P, Q, X</v>
      </c>
      <c r="E11" s="1" t="str">
        <f>IFERROR(__xludf.DUMMYFUNCTION("TEXTJOIN("", "", TRUE, IFNA(FILTER(Cleanup!$B$2:$B1000, INDEX(Cleanup!$E$2:$AN1000, 0, MATCH($A11, Cleanup!$E$1:$AN$1, 0)) = E$1), """"))"),"D, G, H, I, K, L, S")</f>
        <v>D, G, H, I, K, L, S</v>
      </c>
    </row>
    <row r="12">
      <c r="A12" s="2" t="s">
        <v>76</v>
      </c>
      <c r="B12" s="1" t="str">
        <f>IFERROR(__xludf.DUMMYFUNCTION("TEXTJOIN("", "", TRUE, IFNA(FILTER(Cleanup!$B$2:$B1000, INDEX(Cleanup!$E$2:$AN1000, 0, MATCH($A12, Cleanup!$E$1:$AN$1, 0)) = B$1), """"))"),"D, R, V, X")</f>
        <v>D, R, V, X</v>
      </c>
      <c r="C12" s="1" t="str">
        <f>IFERROR(__xludf.DUMMYFUNCTION("TEXTJOIN("", "", TRUE, IFNA(FILTER(Cleanup!$B$2:$B1000, INDEX(Cleanup!$E$2:$AN1000, 0, MATCH($A12, Cleanup!$E$1:$AN$1, 0)) = C$1), """"))"),"K, P, T")</f>
        <v>K, P, T</v>
      </c>
      <c r="D12" s="1" t="str">
        <f>IFERROR(__xludf.DUMMYFUNCTION("TEXTJOIN("", "", TRUE, IFNA(FILTER(Cleanup!$B$2:$B1000, INDEX(Cleanup!$E$2:$AN1000, 0, MATCH($A12, Cleanup!$E$1:$AN$1, 0)) = D$1), """"))"),"A, B, C, E, F, G, J, M, N, O, Q, S, U")</f>
        <v>A, B, C, E, F, G, J, M, N, O, Q, S, U</v>
      </c>
      <c r="E12" s="1" t="str">
        <f>IFERROR(__xludf.DUMMYFUNCTION("TEXTJOIN("", "", TRUE, IFNA(FILTER(Cleanup!$B$2:$B1000, INDEX(Cleanup!$E$2:$AN1000, 0, MATCH($A12, Cleanup!$E$1:$AN$1, 0)) = E$1), """"))"),"H, I, L")</f>
        <v>H, I, L</v>
      </c>
    </row>
    <row r="13">
      <c r="A13" s="2" t="s">
        <v>77</v>
      </c>
      <c r="B13" s="1" t="str">
        <f>IFERROR(__xludf.DUMMYFUNCTION("TEXTJOIN("", "", TRUE, IFNA(FILTER(Cleanup!$B$2:$B1000, INDEX(Cleanup!$E$2:$AN1000, 0, MATCH($A13, Cleanup!$E$1:$AN$1, 0)) = B$1), """"))"),"B, N, T, V")</f>
        <v>B, N, T, V</v>
      </c>
      <c r="C13" s="1" t="str">
        <f>IFERROR(__xludf.DUMMYFUNCTION("TEXTJOIN("", "", TRUE, IFNA(FILTER(Cleanup!$B$2:$B1000, INDEX(Cleanup!$E$2:$AN1000, 0, MATCH($A13, Cleanup!$E$1:$AN$1, 0)) = C$1), """"))"),"F, O, U, X")</f>
        <v>F, O, U, X</v>
      </c>
      <c r="D13" s="1" t="str">
        <f>IFERROR(__xludf.DUMMYFUNCTION("TEXTJOIN("", "", TRUE, IFNA(FILTER(Cleanup!$B$2:$B1000, INDEX(Cleanup!$E$2:$AN1000, 0, MATCH($A13, Cleanup!$E$1:$AN$1, 0)) = D$1), """"))"),"A, C, E, G, M, Q, R")</f>
        <v>A, C, E, G, M, Q, R</v>
      </c>
      <c r="E13" s="1" t="str">
        <f>IFERROR(__xludf.DUMMYFUNCTION("TEXTJOIN("", "", TRUE, IFNA(FILTER(Cleanup!$B$2:$B1000, INDEX(Cleanup!$E$2:$AN1000, 0, MATCH($A13, Cleanup!$E$1:$AN$1, 0)) = E$1), """"))"),"D, H, I, J, K, L, P, S")</f>
        <v>D, H, I, J, K, L, P, S</v>
      </c>
    </row>
    <row r="14">
      <c r="A14" s="2" t="s">
        <v>78</v>
      </c>
      <c r="B14" s="1" t="str">
        <f>IFERROR(__xludf.DUMMYFUNCTION("TEXTJOIN("", "", TRUE, IFNA(FILTER(Cleanup!$B$2:$B1000, INDEX(Cleanup!$E$2:$AN1000, 0, MATCH($A14, Cleanup!$E$1:$AN$1, 0)) = B$1), """"))"),"B, D, K, N, O, S")</f>
        <v>B, D, K, N, O, S</v>
      </c>
      <c r="C14" s="1" t="str">
        <f>IFERROR(__xludf.DUMMYFUNCTION("TEXTJOIN("", "", TRUE, IFNA(FILTER(Cleanup!$B$2:$B1000, INDEX(Cleanup!$E$2:$AN1000, 0, MATCH($A14, Cleanup!$E$1:$AN$1, 0)) = C$1), """"))"),"C, R, X")</f>
        <v>C, R, X</v>
      </c>
      <c r="D14" s="1" t="str">
        <f>IFERROR(__xludf.DUMMYFUNCTION("TEXTJOIN("", "", TRUE, IFNA(FILTER(Cleanup!$B$2:$B1000, INDEX(Cleanup!$E$2:$AN1000, 0, MATCH($A14, Cleanup!$E$1:$AN$1, 0)) = D$1), """"))"),"A, E, F, J, P, Q, T, U, V")</f>
        <v>A, E, F, J, P, Q, T, U, V</v>
      </c>
      <c r="E14" s="1" t="str">
        <f>IFERROR(__xludf.DUMMYFUNCTION("TEXTJOIN("", "", TRUE, IFNA(FILTER(Cleanup!$B$2:$B1000, INDEX(Cleanup!$E$2:$AN1000, 0, MATCH($A14, Cleanup!$E$1:$AN$1, 0)) = E$1), """"))"),"G, H, I, L, M")</f>
        <v>G, H, I, L, M</v>
      </c>
    </row>
    <row r="15">
      <c r="A15" s="2" t="s">
        <v>79</v>
      </c>
      <c r="B15" s="1" t="str">
        <f>IFERROR(__xludf.DUMMYFUNCTION("TEXTJOIN("", "", TRUE, IFNA(FILTER(Cleanup!$B$2:$B1000, INDEX(Cleanup!$E$2:$AN1000, 0, MATCH($A15, Cleanup!$E$1:$AN$1, 0)) = B$1), """"))"),"D, K")</f>
        <v>D, K</v>
      </c>
      <c r="C15" s="1" t="str">
        <f>IFERROR(__xludf.DUMMYFUNCTION("TEXTJOIN("", "", TRUE, IFNA(FILTER(Cleanup!$B$2:$B1000, INDEX(Cleanup!$E$2:$AN1000, 0, MATCH($A15, Cleanup!$E$1:$AN$1, 0)) = C$1), """"))"),"N, Q, R, X")</f>
        <v>N, Q, R, X</v>
      </c>
      <c r="D15" s="1" t="str">
        <f>IFERROR(__xludf.DUMMYFUNCTION("TEXTJOIN("", "", TRUE, IFNA(FILTER(Cleanup!$B$2:$B1000, INDEX(Cleanup!$E$2:$AN1000, 0, MATCH($A15, Cleanup!$E$1:$AN$1, 0)) = D$1), """"))"),"A, B, C, E, F, G, I, J, M, O, T, U, V")</f>
        <v>A, B, C, E, F, G, I, J, M, O, T, U, V</v>
      </c>
      <c r="E15" s="1" t="str">
        <f>IFERROR(__xludf.DUMMYFUNCTION("TEXTJOIN("", "", TRUE, IFNA(FILTER(Cleanup!$B$2:$B1000, INDEX(Cleanup!$E$2:$AN1000, 0, MATCH($A15, Cleanup!$E$1:$AN$1, 0)) = E$1), """"))"),"H, L, P, S")</f>
        <v>H, L, P, S</v>
      </c>
    </row>
    <row r="16">
      <c r="A16" s="2" t="s">
        <v>80</v>
      </c>
      <c r="B16" s="1" t="str">
        <f>IFERROR(__xludf.DUMMYFUNCTION("TEXTJOIN("", "", TRUE, IFNA(FILTER(Cleanup!$B$2:$B1000, INDEX(Cleanup!$E$2:$AN1000, 0, MATCH($A16, Cleanup!$E$1:$AN$1, 0)) = B$1), """"))"),"B, O")</f>
        <v>B, O</v>
      </c>
      <c r="C16" s="1" t="str">
        <f>IFERROR(__xludf.DUMMYFUNCTION("TEXTJOIN("", "", TRUE, IFNA(FILTER(Cleanup!$B$2:$B1000, INDEX(Cleanup!$E$2:$AN1000, 0, MATCH($A16, Cleanup!$E$1:$AN$1, 0)) = C$1), """"))"),"C, Q, U, X")</f>
        <v>C, Q, U, X</v>
      </c>
      <c r="D16" s="1" t="str">
        <f>IFERROR(__xludf.DUMMYFUNCTION("TEXTJOIN("", "", TRUE, IFNA(FILTER(Cleanup!$B$2:$B1000, INDEX(Cleanup!$E$2:$AN1000, 0, MATCH($A16, Cleanup!$E$1:$AN$1, 0)) = D$1), """"))"),"A, E, F, M, R, T, V")</f>
        <v>A, E, F, M, R, T, V</v>
      </c>
      <c r="E16" s="1" t="str">
        <f>IFERROR(__xludf.DUMMYFUNCTION("TEXTJOIN("", "", TRUE, IFNA(FILTER(Cleanup!$B$2:$B1000, INDEX(Cleanup!$E$2:$AN1000, 0, MATCH($A16, Cleanup!$E$1:$AN$1, 0)) = E$1), """"))"),"D, G, H, I, J, K, L, N, P, S")</f>
        <v>D, G, H, I, J, K, L, N, P, S</v>
      </c>
    </row>
    <row r="17">
      <c r="A17" s="2" t="s">
        <v>82</v>
      </c>
      <c r="B17" s="1" t="str">
        <f>IFERROR(__xludf.DUMMYFUNCTION("TEXTJOIN("", "", TRUE, IFNA(FILTER(Cleanup!$B$2:$B1000, INDEX(Cleanup!$E$2:$AN1000, 0, MATCH($A17, Cleanup!$E$1:$AN$1, 0)) = B$1), """"))"),"B, R, X")</f>
        <v>B, R, X</v>
      </c>
      <c r="C17" s="1" t="str">
        <f>IFERROR(__xludf.DUMMYFUNCTION("TEXTJOIN("", "", TRUE, IFNA(FILTER(Cleanup!$B$2:$B1000, INDEX(Cleanup!$E$2:$AN1000, 0, MATCH($A17, Cleanup!$E$1:$AN$1, 0)) = C$1), """"))"),"T, U")</f>
        <v>T, U</v>
      </c>
      <c r="D17" s="1" t="str">
        <f>IFERROR(__xludf.DUMMYFUNCTION("TEXTJOIN("", "", TRUE, IFNA(FILTER(Cleanup!$B$2:$B1000, INDEX(Cleanup!$E$2:$AN1000, 0, MATCH($A17, Cleanup!$E$1:$AN$1, 0)) = D$1), """"))"),"A, C, E, F, G, M, N, O, P, Q, S, V")</f>
        <v>A, C, E, F, G, M, N, O, P, Q, S, V</v>
      </c>
      <c r="E17" s="1" t="str">
        <f>IFERROR(__xludf.DUMMYFUNCTION("TEXTJOIN("", "", TRUE, IFNA(FILTER(Cleanup!$B$2:$B1000, INDEX(Cleanup!$E$2:$AN1000, 0, MATCH($A17, Cleanup!$E$1:$AN$1, 0)) = E$1), """"))"),"D, H, I, J, K, L")</f>
        <v>D, H, I, J, K, L</v>
      </c>
    </row>
    <row r="18">
      <c r="A18" s="2" t="s">
        <v>83</v>
      </c>
      <c r="B18" s="1" t="str">
        <f>IFERROR(__xludf.DUMMYFUNCTION("TEXTJOIN("", "", TRUE, IFNA(FILTER(Cleanup!$B$2:$B1000, INDEX(Cleanup!$E$2:$AN1000, 0, MATCH($A18, Cleanup!$E$1:$AN$1, 0)) = B$1), """"))"),"R")</f>
        <v>R</v>
      </c>
      <c r="C18" s="1" t="str">
        <f>IFERROR(__xludf.DUMMYFUNCTION("TEXTJOIN("", "", TRUE, IFNA(FILTER(Cleanup!$B$2:$B1000, INDEX(Cleanup!$E$2:$AN1000, 0, MATCH($A18, Cleanup!$E$1:$AN$1, 0)) = C$1), """"))"),"T, X")</f>
        <v>T, X</v>
      </c>
      <c r="D18" s="1" t="str">
        <f>IFERROR(__xludf.DUMMYFUNCTION("TEXTJOIN("", "", TRUE, IFNA(FILTER(Cleanup!$B$2:$B1000, INDEX(Cleanup!$E$2:$AN1000, 0, MATCH($A18, Cleanup!$E$1:$AN$1, 0)) = D$1), """"))"),"A, B, C, E, F, M, O, Q, S, U, V")</f>
        <v>A, B, C, E, F, M, O, Q, S, U, V</v>
      </c>
      <c r="E18" s="1" t="str">
        <f>IFERROR(__xludf.DUMMYFUNCTION("TEXTJOIN("", "", TRUE, IFNA(FILTER(Cleanup!$B$2:$B1000, INDEX(Cleanup!$E$2:$AN1000, 0, MATCH($A18, Cleanup!$E$1:$AN$1, 0)) = E$1), """"))"),"D, G, H, I, J, K, L, N, P")</f>
        <v>D, G, H, I, J, K, L, N, P</v>
      </c>
    </row>
    <row r="19">
      <c r="A19" s="2" t="s">
        <v>84</v>
      </c>
      <c r="B19" s="1" t="str">
        <f>IFERROR(__xludf.DUMMYFUNCTION("TEXTJOIN("", "", TRUE, IFNA(FILTER(Cleanup!$B$2:$B1000, INDEX(Cleanup!$E$2:$AN1000, 0, MATCH($A19, Cleanup!$E$1:$AN$1, 0)) = B$1), """"))"),"D, G, R, S, X")</f>
        <v>D, G, R, S, X</v>
      </c>
      <c r="C19" s="1" t="str">
        <f>IFERROR(__xludf.DUMMYFUNCTION("TEXTJOIN("", "", TRUE, IFNA(FILTER(Cleanup!$B$2:$B1000, INDEX(Cleanup!$E$2:$AN1000, 0, MATCH($A19, Cleanup!$E$1:$AN$1, 0)) = C$1), """"))"),"E, F, H, J, N, O, P, Q, T, V")</f>
        <v>E, F, H, J, N, O, P, Q, T, V</v>
      </c>
      <c r="D19" s="1" t="str">
        <f>IFERROR(__xludf.DUMMYFUNCTION("TEXTJOIN("", "", TRUE, IFNA(FILTER(Cleanup!$B$2:$B1000, INDEX(Cleanup!$E$2:$AN1000, 0, MATCH($A19, Cleanup!$E$1:$AN$1, 0)) = D$1), """"))"),"A, B, C, I, L, U")</f>
        <v>A, B, C, I, L, U</v>
      </c>
      <c r="E19" s="1" t="str">
        <f>IFERROR(__xludf.DUMMYFUNCTION("TEXTJOIN("", "", TRUE, IFNA(FILTER(Cleanup!$B$2:$B1000, INDEX(Cleanup!$E$2:$AN1000, 0, MATCH($A19, Cleanup!$E$1:$AN$1, 0)) = E$1), """"))"),"K, M")</f>
        <v>K, M</v>
      </c>
    </row>
    <row r="20">
      <c r="A20" s="2" t="s">
        <v>85</v>
      </c>
      <c r="B20" s="1" t="str">
        <f>IFERROR(__xludf.DUMMYFUNCTION("TEXTJOIN("", "", TRUE, IFNA(FILTER(Cleanup!$B$2:$B1000, INDEX(Cleanup!$E$2:$AN1000, 0, MATCH($A20, Cleanup!$E$1:$AN$1, 0)) = B$1), """"))"),"D, P")</f>
        <v>D, P</v>
      </c>
      <c r="C20" s="1" t="str">
        <f>IFERROR(__xludf.DUMMYFUNCTION("TEXTJOIN("", "", TRUE, IFNA(FILTER(Cleanup!$B$2:$B1000, INDEX(Cleanup!$E$2:$AN1000, 0, MATCH($A20, Cleanup!$E$1:$AN$1, 0)) = C$1), """"))"),"N, Q, R")</f>
        <v>N, Q, R</v>
      </c>
      <c r="D20" s="1" t="str">
        <f>IFERROR(__xludf.DUMMYFUNCTION("TEXTJOIN("", "", TRUE, IFNA(FILTER(Cleanup!$B$2:$B1000, INDEX(Cleanup!$E$2:$AN1000, 0, MATCH($A20, Cleanup!$E$1:$AN$1, 0)) = D$1), """"))"),"A, B, C, E, F, G, J, K, O, S, T, U, V, X")</f>
        <v>A, B, C, E, F, G, J, K, O, S, T, U, V, X</v>
      </c>
      <c r="E20" s="1" t="str">
        <f>IFERROR(__xludf.DUMMYFUNCTION("TEXTJOIN("", "", TRUE, IFNA(FILTER(Cleanup!$B$2:$B1000, INDEX(Cleanup!$E$2:$AN1000, 0, MATCH($A20, Cleanup!$E$1:$AN$1, 0)) = E$1), """"))"),"H, I, L, M")</f>
        <v>H, I, L, M</v>
      </c>
    </row>
    <row r="21">
      <c r="A21" s="2" t="s">
        <v>95</v>
      </c>
      <c r="B21" s="1" t="str">
        <f>IFERROR(__xludf.DUMMYFUNCTION("TEXTJOIN("", "", TRUE, IFNA(FILTER(Cleanup!$B$2:$B1000, INDEX(Cleanup!$E$2:$AN1000, 0, MATCH($A21, Cleanup!$E$1:$AN$1, 0)) = B$1), """"))"),"A, D, K, T")</f>
        <v>A, D, K, T</v>
      </c>
      <c r="C21" s="1" t="str">
        <f>IFERROR(__xludf.DUMMYFUNCTION("TEXTJOIN("", "", TRUE, IFNA(FILTER(Cleanup!$B$2:$B1000, INDEX(Cleanup!$E$2:$AN1000, 0, MATCH($A21, Cleanup!$E$1:$AN$1, 0)) = C$1), """"))"),"M, N")</f>
        <v>M, N</v>
      </c>
      <c r="D21" s="1" t="str">
        <f>IFERROR(__xludf.DUMMYFUNCTION("TEXTJOIN("", "", TRUE, IFNA(FILTER(Cleanup!$B$2:$B1000, INDEX(Cleanup!$E$2:$AN1000, 0, MATCH($A21, Cleanup!$E$1:$AN$1, 0)) = D$1), """"))"),"B, C, E, F, J, O, Q, R, U, V, X")</f>
        <v>B, C, E, F, J, O, Q, R, U, V, X</v>
      </c>
      <c r="E21" s="1" t="str">
        <f>IFERROR(__xludf.DUMMYFUNCTION("TEXTJOIN("", "", TRUE, IFNA(FILTER(Cleanup!$B$2:$B1000, INDEX(Cleanup!$E$2:$AN1000, 0, MATCH($A21, Cleanup!$E$1:$AN$1, 0)) = E$1), """"))"),"G, H, I, L, P, S")</f>
        <v>G, H, I, L, P, S</v>
      </c>
    </row>
    <row r="22">
      <c r="A22" s="2" t="s">
        <v>86</v>
      </c>
      <c r="B22" s="1" t="str">
        <f>IFERROR(__xludf.DUMMYFUNCTION("TEXTJOIN("", "", TRUE, IFNA(FILTER(Cleanup!$B$2:$B1000, INDEX(Cleanup!$E$2:$AN1000, 0, MATCH($A22, Cleanup!$E$1:$AN$1, 0)) = B$1), """"))"),"D, Q, T")</f>
        <v>D, Q, T</v>
      </c>
      <c r="C22" s="1" t="str">
        <f>IFERROR(__xludf.DUMMYFUNCTION("TEXTJOIN("", "", TRUE, IFNA(FILTER(Cleanup!$B$2:$B1000, INDEX(Cleanup!$E$2:$AN1000, 0, MATCH($A22, Cleanup!$E$1:$AN$1, 0)) = C$1), """"))"),"G, K, R, X")</f>
        <v>G, K, R, X</v>
      </c>
      <c r="D22" s="1" t="str">
        <f>IFERROR(__xludf.DUMMYFUNCTION("TEXTJOIN("", "", TRUE, IFNA(FILTER(Cleanup!$B$2:$B1000, INDEX(Cleanup!$E$2:$AN1000, 0, MATCH($A22, Cleanup!$E$1:$AN$1, 0)) = D$1), """"))"),"A, B, C, E, F, I, N, O, U, V")</f>
        <v>A, B, C, E, F, I, N, O, U, V</v>
      </c>
      <c r="E22" s="1" t="str">
        <f>IFERROR(__xludf.DUMMYFUNCTION("TEXTJOIN("", "", TRUE, IFNA(FILTER(Cleanup!$B$2:$B1000, INDEX(Cleanup!$E$2:$AN1000, 0, MATCH($A22, Cleanup!$E$1:$AN$1, 0)) = E$1), """"))"),"H, J, L, M, P, S")</f>
        <v>H, J, L, M, P, S</v>
      </c>
    </row>
    <row r="23">
      <c r="A23" s="2" t="s">
        <v>61</v>
      </c>
      <c r="B23" s="1" t="str">
        <f>IFERROR(__xludf.DUMMYFUNCTION("TEXTJOIN("", "", TRUE, IFNA(FILTER(Cleanup!$B$2:$B1000, INDEX(Cleanup!$E$2:$AN1000, 0, MATCH($A23, Cleanup!$E$1:$AN$1, 0)) = B$1), """"))"),"A, B, C, D, J, R, S, T, X")</f>
        <v>A, B, C, D, J, R, S, T, X</v>
      </c>
      <c r="C23" s="1" t="str">
        <f>IFERROR(__xludf.DUMMYFUNCTION("TEXTJOIN("", "", TRUE, IFNA(FILTER(Cleanup!$B$2:$B1000, INDEX(Cleanup!$E$2:$AN1000, 0, MATCH($A23, Cleanup!$E$1:$AN$1, 0)) = C$1), """"))"),"E, F, H, N, U")</f>
        <v>E, F, H, N, U</v>
      </c>
      <c r="D23" s="1" t="str">
        <f>IFERROR(__xludf.DUMMYFUNCTION("TEXTJOIN("", "", TRUE, IFNA(FILTER(Cleanup!$B$2:$B1000, INDEX(Cleanup!$E$2:$AN1000, 0, MATCH($A23, Cleanup!$E$1:$AN$1, 0)) = D$1), """"))"),"G, I, M, O, P, Q, V")</f>
        <v>G, I, M, O, P, Q, V</v>
      </c>
      <c r="E23" s="1" t="str">
        <f>IFERROR(__xludf.DUMMYFUNCTION("TEXTJOIN("", "", TRUE, IFNA(FILTER(Cleanup!$B$2:$B1000, INDEX(Cleanup!$E$2:$AN1000, 0, MATCH($A23, Cleanup!$E$1:$AN$1, 0)) = E$1), """"))"),"K, L")</f>
        <v>K, L</v>
      </c>
    </row>
    <row r="24">
      <c r="A24" s="2" t="s">
        <v>87</v>
      </c>
      <c r="B24" s="1" t="str">
        <f>IFERROR(__xludf.DUMMYFUNCTION("TEXTJOIN("", "", TRUE, IFNA(FILTER(Cleanup!$B$2:$B1000, INDEX(Cleanup!$E$2:$AN1000, 0, MATCH($A24, Cleanup!$E$1:$AN$1, 0)) = B$1), """"))"),"D, R, S")</f>
        <v>D, R, S</v>
      </c>
      <c r="C24" s="1" t="str">
        <f>IFERROR(__xludf.DUMMYFUNCTION("TEXTJOIN("", "", TRUE, IFNA(FILTER(Cleanup!$B$2:$B1000, INDEX(Cleanup!$E$2:$AN1000, 0, MATCH($A24, Cleanup!$E$1:$AN$1, 0)) = C$1), """"))"),"B, N, T, X")</f>
        <v>B, N, T, X</v>
      </c>
      <c r="D24" s="1" t="str">
        <f>IFERROR(__xludf.DUMMYFUNCTION("TEXTJOIN("", "", TRUE, IFNA(FILTER(Cleanup!$B$2:$B1000, INDEX(Cleanup!$E$2:$AN1000, 0, MATCH($A24, Cleanup!$E$1:$AN$1, 0)) = D$1), """"))"),"A, C, E, F, G, O, Q, U, V")</f>
        <v>A, C, E, F, G, O, Q, U, V</v>
      </c>
      <c r="E24" s="1" t="str">
        <f>IFERROR(__xludf.DUMMYFUNCTION("TEXTJOIN("", "", TRUE, IFNA(FILTER(Cleanup!$B$2:$B1000, INDEX(Cleanup!$E$2:$AN1000, 0, MATCH($A24, Cleanup!$E$1:$AN$1, 0)) = E$1), """"))"),"H, I, J, K, L, M, P")</f>
        <v>H, I, J, K, L, M, P</v>
      </c>
    </row>
    <row r="25">
      <c r="A25" s="2" t="s">
        <v>89</v>
      </c>
      <c r="B25" s="1" t="str">
        <f>IFERROR(__xludf.DUMMYFUNCTION("TEXTJOIN("", "", TRUE, IFNA(FILTER(Cleanup!$B$2:$B1000, INDEX(Cleanup!$E$2:$AN1000, 0, MATCH($A25, Cleanup!$E$1:$AN$1, 0)) = B$1), """"))"),"D, X")</f>
        <v>D, X</v>
      </c>
      <c r="C25" s="1" t="str">
        <f>IFERROR(__xludf.DUMMYFUNCTION("TEXTJOIN("", "", TRUE, IFNA(FILTER(Cleanup!$B$2:$B1000, INDEX(Cleanup!$E$2:$AN1000, 0, MATCH($A25, Cleanup!$E$1:$AN$1, 0)) = C$1), """"))"),"B, O, R, T")</f>
        <v>B, O, R, T</v>
      </c>
      <c r="D25" s="1" t="str">
        <f>IFERROR(__xludf.DUMMYFUNCTION("TEXTJOIN("", "", TRUE, IFNA(FILTER(Cleanup!$B$2:$B1000, INDEX(Cleanup!$E$2:$AN1000, 0, MATCH($A25, Cleanup!$E$1:$AN$1, 0)) = D$1), """"))"),"A, C, E, F, N, Q, U, V")</f>
        <v>A, C, E, F, N, Q, U, V</v>
      </c>
      <c r="E25" s="1" t="str">
        <f>IFERROR(__xludf.DUMMYFUNCTION("TEXTJOIN("", "", TRUE, IFNA(FILTER(Cleanup!$B$2:$B1000, INDEX(Cleanup!$E$2:$AN1000, 0, MATCH($A25, Cleanup!$E$1:$AN$1, 0)) = E$1), """"))"),"G, H, I, J, K, L, M, P, S")</f>
        <v>G, H, I, J, K, L, M, P, S</v>
      </c>
    </row>
    <row r="26">
      <c r="A26" s="2" t="s">
        <v>62</v>
      </c>
      <c r="B26" s="1" t="str">
        <f>IFERROR(__xludf.DUMMYFUNCTION("TEXTJOIN("", "", TRUE, IFNA(FILTER(Cleanup!$B$2:$B1000, INDEX(Cleanup!$E$2:$AN1000, 0, MATCH($A26, Cleanup!$E$1:$AN$1, 0)) = B$1), """"))"),"A, D, G, H, K, P, S, T")</f>
        <v>A, D, G, H, K, P, S, T</v>
      </c>
      <c r="C26" s="1" t="str">
        <f>IFERROR(__xludf.DUMMYFUNCTION("TEXTJOIN("", "", TRUE, IFNA(FILTER(Cleanup!$B$2:$B1000, INDEX(Cleanup!$E$2:$AN1000, 0, MATCH($A26, Cleanup!$E$1:$AN$1, 0)) = C$1), """"))"),"B, E, I, J, N, O, R, X")</f>
        <v>B, E, I, J, N, O, R, X</v>
      </c>
      <c r="D26" s="1" t="str">
        <f>IFERROR(__xludf.DUMMYFUNCTION("TEXTJOIN("", "", TRUE, IFNA(FILTER(Cleanup!$B$2:$B1000, INDEX(Cleanup!$E$2:$AN1000, 0, MATCH($A26, Cleanup!$E$1:$AN$1, 0)) = D$1), """"))"),"C, F, Q, U, V")</f>
        <v>C, F, Q, U, V</v>
      </c>
      <c r="E26" s="1" t="str">
        <f>IFERROR(__xludf.DUMMYFUNCTION("TEXTJOIN("", "", TRUE, IFNA(FILTER(Cleanup!$B$2:$B1000, INDEX(Cleanup!$E$2:$AN1000, 0, MATCH($A26, Cleanup!$E$1:$AN$1, 0)) = E$1), """"))"),"L, M")</f>
        <v>L, M</v>
      </c>
    </row>
    <row r="27">
      <c r="A27" s="2" t="s">
        <v>63</v>
      </c>
      <c r="B27" s="1" t="str">
        <f>IFERROR(__xludf.DUMMYFUNCTION("TEXTJOIN("", "", TRUE, IFNA(FILTER(Cleanup!$B$2:$B1000, INDEX(Cleanup!$E$2:$AN1000, 0, MATCH($A27, Cleanup!$E$1:$AN$1, 0)) = B$1), """"))"),"A, D, F, P, R, T, X")</f>
        <v>A, D, F, P, R, T, X</v>
      </c>
      <c r="C27" s="1" t="str">
        <f>IFERROR(__xludf.DUMMYFUNCTION("TEXTJOIN("", "", TRUE, IFNA(FILTER(Cleanup!$B$2:$B1000, INDEX(Cleanup!$E$2:$AN1000, 0, MATCH($A27, Cleanup!$E$1:$AN$1, 0)) = C$1), """"))"),"B, E, I")</f>
        <v>B, E, I</v>
      </c>
      <c r="D27" s="1" t="str">
        <f>IFERROR(__xludf.DUMMYFUNCTION("TEXTJOIN("", "", TRUE, IFNA(FILTER(Cleanup!$B$2:$B1000, INDEX(Cleanup!$E$2:$AN1000, 0, MATCH($A27, Cleanup!$E$1:$AN$1, 0)) = D$1), """"))"),"C, G, J, K, O, Q, U, V")</f>
        <v>C, G, J, K, O, Q, U, V</v>
      </c>
      <c r="E27" s="1" t="str">
        <f>IFERROR(__xludf.DUMMYFUNCTION("TEXTJOIN("", "", TRUE, IFNA(FILTER(Cleanup!$B$2:$B1000, INDEX(Cleanup!$E$2:$AN1000, 0, MATCH($A27, Cleanup!$E$1:$AN$1, 0)) = E$1), """"))"),"H, L, M, N, S")</f>
        <v>H, L, M, N, S</v>
      </c>
    </row>
    <row r="28">
      <c r="A28" s="2" t="s">
        <v>64</v>
      </c>
      <c r="B28" s="1" t="str">
        <f>IFERROR(__xludf.DUMMYFUNCTION("TEXTJOIN("", "", TRUE, IFNA(FILTER(Cleanup!$B$2:$B1000, INDEX(Cleanup!$E$2:$AN1000, 0, MATCH($A28, Cleanup!$E$1:$AN$1, 0)) = B$1), """"))"),"A, D, P, R, T, X")</f>
        <v>A, D, P, R, T, X</v>
      </c>
      <c r="C28" s="1" t="str">
        <f>IFERROR(__xludf.DUMMYFUNCTION("TEXTJOIN("", "", TRUE, IFNA(FILTER(Cleanup!$B$2:$B1000, INDEX(Cleanup!$E$2:$AN1000, 0, MATCH($A28, Cleanup!$E$1:$AN$1, 0)) = C$1), """"))"),"B, E, G, H, J, K, L, O, S, U, V")</f>
        <v>B, E, G, H, J, K, L, O, S, U, V</v>
      </c>
      <c r="D28" s="1" t="str">
        <f>IFERROR(__xludf.DUMMYFUNCTION("TEXTJOIN("", "", TRUE, IFNA(FILTER(Cleanup!$B$2:$B1000, INDEX(Cleanup!$E$2:$AN1000, 0, MATCH($A28, Cleanup!$E$1:$AN$1, 0)) = D$1), """"))"),"C, I, N, Q")</f>
        <v>C, I, N, Q</v>
      </c>
      <c r="E28" s="1" t="str">
        <f>IFERROR(__xludf.DUMMYFUNCTION("TEXTJOIN("", "", TRUE, IFNA(FILTER(Cleanup!$B$2:$B1000, INDEX(Cleanup!$E$2:$AN1000, 0, MATCH($A28, Cleanup!$E$1:$AN$1, 0)) = E$1), """"))"),"F, M")</f>
        <v>F, M</v>
      </c>
    </row>
    <row r="29">
      <c r="A29" s="2" t="s">
        <v>65</v>
      </c>
      <c r="B29" s="1" t="str">
        <f>IFERROR(__xludf.DUMMYFUNCTION("TEXTJOIN("", "", TRUE, IFNA(FILTER(Cleanup!$B$2:$B1000, INDEX(Cleanup!$E$2:$AN1000, 0, MATCH($A29, Cleanup!$E$1:$AN$1, 0)) = B$1), """"))"),"A, D, G, K, P, T")</f>
        <v>A, D, G, K, P, T</v>
      </c>
      <c r="C29" s="1" t="str">
        <f>IFERROR(__xludf.DUMMYFUNCTION("TEXTJOIN("", "", TRUE, IFNA(FILTER(Cleanup!$B$2:$B1000, INDEX(Cleanup!$E$2:$AN1000, 0, MATCH($A29, Cleanup!$E$1:$AN$1, 0)) = C$1), """"))"),"B, I, N, O, R, X")</f>
        <v>B, I, N, O, R, X</v>
      </c>
      <c r="D29" s="1" t="str">
        <f>IFERROR(__xludf.DUMMYFUNCTION("TEXTJOIN("", "", TRUE, IFNA(FILTER(Cleanup!$B$2:$B1000, INDEX(Cleanup!$E$2:$AN1000, 0, MATCH($A29, Cleanup!$E$1:$AN$1, 0)) = D$1), """"))"),"C, E, F, J, M, Q, S, U, V")</f>
        <v>C, E, F, J, M, Q, S, U, V</v>
      </c>
      <c r="E29" s="1" t="str">
        <f>IFERROR(__xludf.DUMMYFUNCTION("TEXTJOIN("", "", TRUE, IFNA(FILTER(Cleanup!$B$2:$B1000, INDEX(Cleanup!$E$2:$AN1000, 0, MATCH($A29, Cleanup!$E$1:$AN$1, 0)) = E$1), """"))"),"H, L")</f>
        <v>H, L</v>
      </c>
    </row>
    <row r="30">
      <c r="A30" s="2" t="s">
        <v>69</v>
      </c>
      <c r="B30" s="1" t="str">
        <f>IFERROR(__xludf.DUMMYFUNCTION("TEXTJOIN("", "", TRUE, IFNA(FILTER(Cleanup!$B$2:$B1000, INDEX(Cleanup!$E$2:$AN1000, 0, MATCH($A30, Cleanup!$E$1:$AN$1, 0)) = B$1), """"))"),"D, K, R, T")</f>
        <v>D, K, R, T</v>
      </c>
      <c r="C30" s="1" t="str">
        <f>IFERROR(__xludf.DUMMYFUNCTION("TEXTJOIN("", "", TRUE, IFNA(FILTER(Cleanup!$B$2:$B1000, INDEX(Cleanup!$E$2:$AN1000, 0, MATCH($A30, Cleanup!$E$1:$AN$1, 0)) = C$1), """"))"),"A, B, G, I, N, X")</f>
        <v>A, B, G, I, N, X</v>
      </c>
      <c r="D30" s="1" t="str">
        <f>IFERROR(__xludf.DUMMYFUNCTION("TEXTJOIN("", "", TRUE, IFNA(FILTER(Cleanup!$B$2:$B1000, INDEX(Cleanup!$E$2:$AN1000, 0, MATCH($A30, Cleanup!$E$1:$AN$1, 0)) = D$1), """"))"),"C, E, F, O, P, Q, U, V")</f>
        <v>C, E, F, O, P, Q, U, V</v>
      </c>
      <c r="E30" s="1" t="str">
        <f>IFERROR(__xludf.DUMMYFUNCTION("TEXTJOIN("", "", TRUE, IFNA(FILTER(Cleanup!$B$2:$B1000, INDEX(Cleanup!$E$2:$AN1000, 0, MATCH($A30, Cleanup!$E$1:$AN$1, 0)) = E$1), """"))"),"H, J, L, M, S")</f>
        <v>H, J, L, M, S</v>
      </c>
    </row>
    <row r="31">
      <c r="A31" s="2" t="s">
        <v>90</v>
      </c>
      <c r="B31" s="1" t="str">
        <f>IFERROR(__xludf.DUMMYFUNCTION("TEXTJOIN("", "", TRUE, IFNA(FILTER(Cleanup!$B$2:$B1000, INDEX(Cleanup!$E$2:$AN1000, 0, MATCH($A31, Cleanup!$E$1:$AN$1, 0)) = B$1), """"))"),"D, M, P, Q, T")</f>
        <v>D, M, P, Q, T</v>
      </c>
      <c r="C31" s="1" t="str">
        <f>IFERROR(__xludf.DUMMYFUNCTION("TEXTJOIN("", "", TRUE, IFNA(FILTER(Cleanup!$B$2:$B1000, INDEX(Cleanup!$E$2:$AN1000, 0, MATCH($A31, Cleanup!$E$1:$AN$1, 0)) = C$1), """"))"),"B, G, I, N, R, X")</f>
        <v>B, G, I, N, R, X</v>
      </c>
      <c r="D31" s="1" t="str">
        <f>IFERROR(__xludf.DUMMYFUNCTION("TEXTJOIN("", "", TRUE, IFNA(FILTER(Cleanup!$B$2:$B1000, INDEX(Cleanup!$E$2:$AN1000, 0, MATCH($A31, Cleanup!$E$1:$AN$1, 0)) = D$1), """"))"),"A, C, E, F, O, U, V")</f>
        <v>A, C, E, F, O, U, V</v>
      </c>
      <c r="E31" s="1" t="str">
        <f>IFERROR(__xludf.DUMMYFUNCTION("TEXTJOIN("", "", TRUE, IFNA(FILTER(Cleanup!$B$2:$B1000, INDEX(Cleanup!$E$2:$AN1000, 0, MATCH($A31, Cleanup!$E$1:$AN$1, 0)) = E$1), """"))"),"H, J, K, L, S")</f>
        <v>H, J, K, L, S</v>
      </c>
    </row>
    <row r="32">
      <c r="A32" s="2" t="s">
        <v>91</v>
      </c>
      <c r="B32" s="1" t="str">
        <f>IFERROR(__xludf.DUMMYFUNCTION("TEXTJOIN("", "", TRUE, IFNA(FILTER(Cleanup!$B$2:$B1000, INDEX(Cleanup!$E$2:$AN1000, 0, MATCH($A32, Cleanup!$E$1:$AN$1, 0)) = B$1), """"))"),"O")</f>
        <v>O</v>
      </c>
      <c r="C32" s="1" t="str">
        <f>IFERROR(__xludf.DUMMYFUNCTION("TEXTJOIN("", "", TRUE, IFNA(FILTER(Cleanup!$B$2:$B1000, INDEX(Cleanup!$E$2:$AN1000, 0, MATCH($A32, Cleanup!$E$1:$AN$1, 0)) = C$1), """"))"),"N, S")</f>
        <v>N, S</v>
      </c>
      <c r="D32" s="1" t="str">
        <f>IFERROR(__xludf.DUMMYFUNCTION("TEXTJOIN("", "", TRUE, IFNA(FILTER(Cleanup!$B$2:$B1000, INDEX(Cleanup!$E$2:$AN1000, 0, MATCH($A32, Cleanup!$E$1:$AN$1, 0)) = D$1), """"))"),"A, B, C, E, F, M, P, Q, T, U, V, X")</f>
        <v>A, B, C, E, F, M, P, Q, T, U, V, X</v>
      </c>
      <c r="E32" s="1" t="str">
        <f>IFERROR(__xludf.DUMMYFUNCTION("TEXTJOIN("", "", TRUE, IFNA(FILTER(Cleanup!$B$2:$B1000, INDEX(Cleanup!$E$2:$AN1000, 0, MATCH($A32, Cleanup!$E$1:$AN$1, 0)) = E$1), """"))"),"D, G, H, I, J, K, L, R")</f>
        <v>D, G, H, I, J, K, L, R</v>
      </c>
    </row>
    <row r="33">
      <c r="A33" s="2" t="s">
        <v>92</v>
      </c>
      <c r="B33" s="1" t="str">
        <f>IFERROR(__xludf.DUMMYFUNCTION("TEXTJOIN("", "", TRUE, IFNA(FILTER(Cleanup!$B$2:$B1000, INDEX(Cleanup!$E$2:$AN1000, 0, MATCH($A33, Cleanup!$E$1:$AN$1, 0)) = B$1), """"))"),"")</f>
        <v/>
      </c>
      <c r="C33" s="1" t="str">
        <f>IFERROR(__xludf.DUMMYFUNCTION("TEXTJOIN("", "", TRUE, IFNA(FILTER(Cleanup!$B$2:$B1000, INDEX(Cleanup!$E$2:$AN1000, 0, MATCH($A33, Cleanup!$E$1:$AN$1, 0)) = C$1), """"))"),"B, G, T, V")</f>
        <v>B, G, T, V</v>
      </c>
      <c r="D33" s="1" t="str">
        <f>IFERROR(__xludf.DUMMYFUNCTION("TEXTJOIN("", "", TRUE, IFNA(FILTER(Cleanup!$B$2:$B1000, INDEX(Cleanup!$E$2:$AN1000, 0, MATCH($A33, Cleanup!$E$1:$AN$1, 0)) = D$1), """"))"),"A, C, F, O, Q, R, S, U, X")</f>
        <v>A, C, F, O, Q, R, S, U, X</v>
      </c>
      <c r="E33" s="1" t="str">
        <f>IFERROR(__xludf.DUMMYFUNCTION("TEXTJOIN("", "", TRUE, IFNA(FILTER(Cleanup!$B$2:$B1000, INDEX(Cleanup!$E$2:$AN1000, 0, MATCH($A33, Cleanup!$E$1:$AN$1, 0)) = E$1), """"))"),"D, E, H, I, J, K, L, M, N, P")</f>
        <v>D, E, H, I, J, K, L, M, N, P</v>
      </c>
    </row>
    <row r="34">
      <c r="A34" s="2" t="s">
        <v>66</v>
      </c>
      <c r="B34" s="1" t="str">
        <f>IFERROR(__xludf.DUMMYFUNCTION("TEXTJOIN("", "", TRUE, IFNA(FILTER(Cleanup!$B$2:$B1000, INDEX(Cleanup!$E$2:$AN1000, 0, MATCH($A34, Cleanup!$E$1:$AN$1, 0)) = B$1), """"))"),"A, D, E, G, I, T, X")</f>
        <v>A, D, E, G, I, T, X</v>
      </c>
      <c r="C34" s="1" t="str">
        <f>IFERROR(__xludf.DUMMYFUNCTION("TEXTJOIN("", "", TRUE, IFNA(FILTER(Cleanup!$B$2:$B1000, INDEX(Cleanup!$E$2:$AN1000, 0, MATCH($A34, Cleanup!$E$1:$AN$1, 0)) = C$1), """"))"),"B, L, N, O, R, S, V")</f>
        <v>B, L, N, O, R, S, V</v>
      </c>
      <c r="D34" s="1" t="str">
        <f>IFERROR(__xludf.DUMMYFUNCTION("TEXTJOIN("", "", TRUE, IFNA(FILTER(Cleanup!$B$2:$B1000, INDEX(Cleanup!$E$2:$AN1000, 0, MATCH($A34, Cleanup!$E$1:$AN$1, 0)) = D$1), """"))"),"C, F, J, P, Q, U")</f>
        <v>C, F, J, P, Q, U</v>
      </c>
      <c r="E34" s="1" t="str">
        <f>IFERROR(__xludf.DUMMYFUNCTION("TEXTJOIN("", "", TRUE, IFNA(FILTER(Cleanup!$B$2:$B1000, INDEX(Cleanup!$E$2:$AN1000, 0, MATCH($A34, Cleanup!$E$1:$AN$1, 0)) = E$1), """"))"),"H, K, M")</f>
        <v>H, K, M</v>
      </c>
    </row>
    <row r="35">
      <c r="A35" s="2" t="s">
        <v>67</v>
      </c>
      <c r="B35" s="1" t="str">
        <f>IFERROR(__xludf.DUMMYFUNCTION("TEXTJOIN("", "", TRUE, IFNA(FILTER(Cleanup!$B$2:$B1000, INDEX(Cleanup!$E$2:$AN1000, 0, MATCH($A35, Cleanup!$E$1:$AN$1, 0)) = B$1), """"))"),"A, D, G, I, L, O, P, R, S, T, X")</f>
        <v>A, D, G, I, L, O, P, R, S, T, X</v>
      </c>
      <c r="C35" s="1" t="str">
        <f>IFERROR(__xludf.DUMMYFUNCTION("TEXTJOIN("", "", TRUE, IFNA(FILTER(Cleanup!$B$2:$B1000, INDEX(Cleanup!$E$2:$AN1000, 0, MATCH($A35, Cleanup!$E$1:$AN$1, 0)) = C$1), """"))"),"B, E, J, K, N")</f>
        <v>B, E, J, K, N</v>
      </c>
      <c r="D35" s="1" t="str">
        <f>IFERROR(__xludf.DUMMYFUNCTION("TEXTJOIN("", "", TRUE, IFNA(FILTER(Cleanup!$B$2:$B1000, INDEX(Cleanup!$E$2:$AN1000, 0, MATCH($A35, Cleanup!$E$1:$AN$1, 0)) = D$1), """"))"),"C, F, Q, U, V")</f>
        <v>C, F, Q, U, V</v>
      </c>
      <c r="E35" s="1" t="str">
        <f>IFERROR(__xludf.DUMMYFUNCTION("TEXTJOIN("", "", TRUE, IFNA(FILTER(Cleanup!$B$2:$B1000, INDEX(Cleanup!$E$2:$AN1000, 0, MATCH($A35, Cleanup!$E$1:$AN$1, 0)) = E$1), """"))"),"H, M")</f>
        <v>H, M</v>
      </c>
    </row>
    <row r="36">
      <c r="A36" s="2" t="s">
        <v>68</v>
      </c>
      <c r="B36" s="1" t="str">
        <f>IFERROR(__xludf.DUMMYFUNCTION("TEXTJOIN("", "", TRUE, IFNA(FILTER(Cleanup!$B$2:$B1000, INDEX(Cleanup!$E$2:$AN1000, 0, MATCH($A36, Cleanup!$E$1:$AN$1, 0)) = B$1), """"))"),"A, D, E, F, G, I, R, T")</f>
        <v>A, D, E, F, G, I, R, T</v>
      </c>
      <c r="C36" s="1" t="str">
        <f>IFERROR(__xludf.DUMMYFUNCTION("TEXTJOIN("", "", TRUE, IFNA(FILTER(Cleanup!$B$2:$B1000, INDEX(Cleanup!$E$2:$AN1000, 0, MATCH($A36, Cleanup!$E$1:$AN$1, 0)) = C$1), """"))"),"B, N, O, P, V")</f>
        <v>B, N, O, P, V</v>
      </c>
      <c r="D36" s="1" t="str">
        <f>IFERROR(__xludf.DUMMYFUNCTION("TEXTJOIN("", "", TRUE, IFNA(FILTER(Cleanup!$B$2:$B1000, INDEX(Cleanup!$E$2:$AN1000, 0, MATCH($A36, Cleanup!$E$1:$AN$1, 0)) = D$1), """"))"),"C, J, K, L, Q, S, U")</f>
        <v>C, J, K, L, Q, S, U</v>
      </c>
      <c r="E36" s="1" t="str">
        <f>IFERROR(__xludf.DUMMYFUNCTION("TEXTJOIN("", "", TRUE, IFNA(FILTER(Cleanup!$B$2:$B1000, INDEX(Cleanup!$E$2:$AN1000, 0, MATCH($A36, Cleanup!$E$1:$AN$1, 0)) = E$1), """"))"),"H, M, X")</f>
        <v>H, M, X</v>
      </c>
    </row>
    <row r="37">
      <c r="A37" s="2" t="s">
        <v>93</v>
      </c>
      <c r="B37" s="1" t="str">
        <f>IFERROR(__xludf.DUMMYFUNCTION("TEXTJOIN("", "", TRUE, IFNA(FILTER(Cleanup!$B$2:$B1000, INDEX(Cleanup!$E$2:$AN1000, 0, MATCH($A37, Cleanup!$E$1:$AN$1, 0)) = B$1), """"))"),"V")</f>
        <v>V</v>
      </c>
      <c r="C37" s="1" t="str">
        <f>IFERROR(__xludf.DUMMYFUNCTION("TEXTJOIN("", "", TRUE, IFNA(FILTER(Cleanup!$B$2:$B1000, INDEX(Cleanup!$E$2:$AN1000, 0, MATCH($A37, Cleanup!$E$1:$AN$1, 0)) = C$1), """"))"),"O, T")</f>
        <v>O, T</v>
      </c>
      <c r="D37" s="1" t="str">
        <f>IFERROR(__xludf.DUMMYFUNCTION("TEXTJOIN("", "", TRUE, IFNA(FILTER(Cleanup!$B$2:$B1000, INDEX(Cleanup!$E$2:$AN1000, 0, MATCH($A37, Cleanup!$E$1:$AN$1, 0)) = D$1), """"))"),"A, B, C, F, Q, R, U")</f>
        <v>A, B, C, F, Q, R, U</v>
      </c>
      <c r="E37" s="1" t="str">
        <f>IFERROR(__xludf.DUMMYFUNCTION("TEXTJOIN("", "", TRUE, IFNA(FILTER(Cleanup!$B$2:$B1000, INDEX(Cleanup!$E$2:$AN1000, 0, MATCH($A37, Cleanup!$E$1:$AN$1, 0)) = E$1), """"))"),"D, E, G, H, I, J, K, L, M, N, P, S, X")</f>
        <v>D, E, G, H, I, J, K, L, M, N, P, S, X</v>
      </c>
    </row>
  </sheetData>
  <drawing r:id="rId1"/>
</worksheet>
</file>